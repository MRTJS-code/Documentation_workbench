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.smith\source\repos\ODS_NZ_SEC\DPDISSIS\BCP SQL Scripts\"/>
    </mc:Choice>
  </mc:AlternateContent>
  <xr:revisionPtr revIDLastSave="0" documentId="13_ncr:1_{5415A464-FD05-4527-9321-CA1A917C1E12}" xr6:coauthVersionLast="47" xr6:coauthVersionMax="47" xr10:uidLastSave="{00000000-0000-0000-0000-000000000000}"/>
  <bookViews>
    <workbookView xWindow="-120" yWindow="-120" windowWidth="29040" windowHeight="15720" activeTab="2" xr2:uid="{8E772FED-12DC-49B1-A642-70CCBEB47D05}"/>
  </bookViews>
  <sheets>
    <sheet name="Timesheet Exported" sheetId="1" r:id="rId1"/>
    <sheet name="Timesheet Paid" sheetId="2" r:id="rId2"/>
    <sheet name="Timesheet Invoiced" sheetId="5" r:id="rId3"/>
    <sheet name="Area PayRules" sheetId="4" r:id="rId4"/>
  </sheets>
  <definedNames>
    <definedName name="_xlnm._FilterDatabase" localSheetId="3" hidden="1">'Area PayRules'!$A$1:$G$2357</definedName>
    <definedName name="_xlnm._FilterDatabase" localSheetId="0" hidden="1">'Timesheet Exported'!$A$1:$F$6054</definedName>
    <definedName name="_xlnm._FilterDatabase" localSheetId="2" hidden="1">'Timesheet Invoiced'!$A$1:$F$6054</definedName>
    <definedName name="_xlnm._FilterDatabase" localSheetId="1" hidden="1">'Timesheet Paid'!$A$1:$F$17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2" i="5"/>
  <c r="E2" i="5" s="1"/>
  <c r="C4" i="5"/>
  <c r="C5" i="5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3" i="1"/>
  <c r="C2" i="1"/>
  <c r="D3" i="5" l="1"/>
  <c r="D3" i="4"/>
  <c r="D2" i="4"/>
  <c r="F2" i="4" s="1"/>
  <c r="E2" i="2"/>
  <c r="D3" i="2" s="1"/>
  <c r="E2" i="1"/>
  <c r="F2" i="2" l="1"/>
  <c r="F2" i="5"/>
  <c r="E3" i="5"/>
  <c r="D4" i="5" s="1"/>
  <c r="E3" i="4"/>
  <c r="D3" i="1"/>
  <c r="E4" i="5" l="1"/>
  <c r="D5" i="5" s="1"/>
  <c r="D4" i="1"/>
  <c r="F3" i="5"/>
  <c r="F2" i="1"/>
  <c r="G2" i="4"/>
  <c r="F3" i="4"/>
  <c r="E3" i="2"/>
  <c r="D4" i="2" s="1"/>
  <c r="E3" i="1"/>
  <c r="E4" i="2" l="1"/>
  <c r="D5" i="2"/>
  <c r="F4" i="2" s="1"/>
  <c r="F3" i="2"/>
  <c r="F4" i="5"/>
  <c r="E5" i="5"/>
  <c r="E4" i="1"/>
  <c r="D5" i="1" s="1"/>
  <c r="F4" i="1"/>
  <c r="E5" i="2" l="1"/>
  <c r="D6" i="2" s="1"/>
  <c r="F5" i="2" s="1"/>
  <c r="F5" i="5"/>
  <c r="E5" i="1"/>
  <c r="D6" i="1" s="1"/>
  <c r="F5" i="1"/>
  <c r="F3" i="1"/>
  <c r="G3" i="4"/>
  <c r="E6" i="2" l="1"/>
  <c r="D7" i="2" s="1"/>
  <c r="F6" i="2" s="1"/>
  <c r="E6" i="1"/>
  <c r="D7" i="1" s="1"/>
  <c r="F6" i="1"/>
  <c r="E7" i="2" l="1"/>
  <c r="D8" i="2" s="1"/>
  <c r="E7" i="1"/>
  <c r="D8" i="1" s="1"/>
  <c r="F7" i="1"/>
  <c r="F7" i="2" l="1"/>
  <c r="E8" i="2"/>
  <c r="D9" i="2" s="1"/>
  <c r="F8" i="2"/>
  <c r="E8" i="1"/>
  <c r="D9" i="1" s="1"/>
  <c r="F8" i="1" s="1"/>
  <c r="E9" i="2" l="1"/>
  <c r="D10" i="2" s="1"/>
  <c r="E9" i="1"/>
  <c r="D10" i="1" s="1"/>
  <c r="E10" i="2" l="1"/>
  <c r="D11" i="2" s="1"/>
  <c r="F10" i="2"/>
  <c r="F9" i="2"/>
  <c r="E10" i="1"/>
  <c r="D11" i="1" s="1"/>
  <c r="F10" i="1"/>
  <c r="F9" i="1"/>
  <c r="E11" i="2" l="1"/>
  <c r="D12" i="2" s="1"/>
  <c r="E11" i="1"/>
  <c r="D12" i="1" s="1"/>
  <c r="F11" i="1" s="1"/>
  <c r="E12" i="2" l="1"/>
  <c r="D13" i="2" s="1"/>
  <c r="F11" i="2"/>
  <c r="E12" i="1"/>
  <c r="D13" i="1" s="1"/>
  <c r="F12" i="1"/>
  <c r="E13" i="2" l="1"/>
  <c r="D14" i="2" s="1"/>
  <c r="F12" i="2"/>
  <c r="E13" i="1"/>
  <c r="D14" i="1" s="1"/>
  <c r="F13" i="1"/>
  <c r="E14" i="2" l="1"/>
  <c r="D15" i="2" s="1"/>
  <c r="F14" i="2"/>
  <c r="F13" i="2"/>
  <c r="E14" i="1"/>
  <c r="D15" i="1" s="1"/>
  <c r="F14" i="1"/>
  <c r="E15" i="2" l="1"/>
  <c r="D16" i="2" s="1"/>
  <c r="F15" i="2" s="1"/>
  <c r="E15" i="1"/>
  <c r="D16" i="1" s="1"/>
  <c r="F15" i="1"/>
  <c r="E16" i="2" l="1"/>
  <c r="D17" i="2" s="1"/>
  <c r="F16" i="2" s="1"/>
  <c r="E16" i="1"/>
  <c r="D17" i="1" s="1"/>
  <c r="F16" i="1"/>
  <c r="E17" i="2" l="1"/>
  <c r="F17" i="2" s="1"/>
  <c r="E17" i="1"/>
  <c r="D18" i="1" s="1"/>
  <c r="F17" i="1"/>
  <c r="E18" i="1" l="1"/>
  <c r="D19" i="1" s="1"/>
  <c r="F18" i="1"/>
  <c r="E19" i="1" l="1"/>
  <c r="D20" i="1" s="1"/>
  <c r="F19" i="1"/>
  <c r="E20" i="1" l="1"/>
  <c r="D21" i="1" s="1"/>
  <c r="F20" i="1"/>
  <c r="E21" i="1" l="1"/>
  <c r="D22" i="1" s="1"/>
  <c r="F21" i="1"/>
  <c r="E22" i="1" l="1"/>
  <c r="D23" i="1" s="1"/>
  <c r="F22" i="1"/>
  <c r="E23" i="1" l="1"/>
  <c r="D24" i="1"/>
  <c r="F23" i="1" l="1"/>
  <c r="E24" i="1"/>
  <c r="D25" i="1" s="1"/>
  <c r="F24" i="1" s="1"/>
  <c r="E25" i="1" l="1"/>
  <c r="D26" i="1" s="1"/>
  <c r="F25" i="1" l="1"/>
  <c r="E26" i="1"/>
  <c r="D27" i="1" s="1"/>
  <c r="F26" i="1"/>
  <c r="E27" i="1" l="1"/>
  <c r="D28" i="1" s="1"/>
  <c r="F27" i="1"/>
  <c r="E28" i="1" l="1"/>
  <c r="D29" i="1" s="1"/>
  <c r="F28" i="1"/>
  <c r="E29" i="1" l="1"/>
  <c r="D30" i="1" s="1"/>
  <c r="F29" i="1"/>
  <c r="E30" i="1" l="1"/>
  <c r="D31" i="1" s="1"/>
  <c r="F30" i="1"/>
  <c r="E31" i="1" l="1"/>
  <c r="D32" i="1" s="1"/>
  <c r="E32" i="1" l="1"/>
  <c r="D33" i="1" s="1"/>
  <c r="F32" i="1"/>
  <c r="F31" i="1"/>
  <c r="E33" i="1" l="1"/>
  <c r="D34" i="1" s="1"/>
  <c r="F33" i="1" s="1"/>
  <c r="E34" i="1" l="1"/>
  <c r="D35" i="1" s="1"/>
  <c r="F34" i="1"/>
  <c r="E35" i="1" l="1"/>
  <c r="D36" i="1" s="1"/>
  <c r="F35" i="1"/>
  <c r="E36" i="1" l="1"/>
  <c r="D37" i="1" s="1"/>
  <c r="F36" i="1"/>
  <c r="E37" i="1" l="1"/>
  <c r="D38" i="1" s="1"/>
  <c r="F37" i="1"/>
  <c r="E38" i="1" l="1"/>
  <c r="D39" i="1" s="1"/>
  <c r="E39" i="1" l="1"/>
  <c r="D40" i="1" s="1"/>
  <c r="F39" i="1" s="1"/>
  <c r="F38" i="1"/>
  <c r="E40" i="1" l="1"/>
  <c r="D41" i="1" s="1"/>
  <c r="F40" i="1" s="1"/>
  <c r="E41" i="1" l="1"/>
  <c r="D42" i="1" s="1"/>
  <c r="E42" i="1" l="1"/>
  <c r="D43" i="1" s="1"/>
  <c r="F42" i="1"/>
  <c r="F41" i="1"/>
  <c r="E43" i="1" l="1"/>
  <c r="D44" i="1" s="1"/>
  <c r="F43" i="1" s="1"/>
  <c r="E44" i="1" l="1"/>
  <c r="D45" i="1" s="1"/>
  <c r="F44" i="1"/>
  <c r="E45" i="1" l="1"/>
  <c r="D46" i="1" s="1"/>
  <c r="F45" i="1" s="1"/>
  <c r="E46" i="1" l="1"/>
  <c r="D47" i="1" s="1"/>
  <c r="F46" i="1" s="1"/>
  <c r="E47" i="1" l="1"/>
  <c r="D48" i="1" s="1"/>
  <c r="F47" i="1"/>
  <c r="E48" i="1" l="1"/>
  <c r="D49" i="1" s="1"/>
  <c r="F48" i="1" s="1"/>
  <c r="E49" i="1" l="1"/>
  <c r="D50" i="1" s="1"/>
  <c r="F49" i="1" s="1"/>
  <c r="E50" i="1" l="1"/>
  <c r="D51" i="1" s="1"/>
  <c r="F50" i="1" s="1"/>
  <c r="E51" i="1" l="1"/>
  <c r="D52" i="1" s="1"/>
  <c r="F51" i="1"/>
  <c r="E52" i="1" l="1"/>
  <c r="D53" i="1" s="1"/>
  <c r="F52" i="1"/>
  <c r="E53" i="1" l="1"/>
  <c r="D54" i="1" s="1"/>
  <c r="F53" i="1"/>
  <c r="E54" i="1" l="1"/>
  <c r="D55" i="1" s="1"/>
  <c r="F54" i="1"/>
  <c r="E55" i="1" l="1"/>
  <c r="F55" i="1"/>
</calcChain>
</file>

<file path=xl/sharedStrings.xml><?xml version="1.0" encoding="utf-8"?>
<sst xmlns="http://schemas.openxmlformats.org/spreadsheetml/2006/main" count="109" uniqueCount="15">
  <si>
    <t>Resource</t>
  </si>
  <si>
    <t>Id</t>
  </si>
  <si>
    <t>Body</t>
  </si>
  <si>
    <t>Row</t>
  </si>
  <si>
    <t>Cumulative</t>
  </si>
  <si>
    <t>SQL</t>
  </si>
  <si>
    <t>Timesheet</t>
  </si>
  <si>
    <t>OperationalUnit</t>
  </si>
  <si>
    <t>Pay Rules</t>
  </si>
  <si>
    <t>433,413,440,400</t>
  </si>
  <si>
    <t>paid</t>
  </si>
  <si>
    <t>General Resource Import</t>
  </si>
  <si>
    <t>Timesheet Paid Import</t>
  </si>
  <si>
    <t>BULK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</si>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</sst>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0" borderId="0" xfId="0" applyFont="1"/>
    <xf numFmtId="0" fontId="10" fillId="5" borderId="4" xfId="9"/>
    <xf numFmtId="0" fontId="15" fillId="0" borderId="0" xfId="0" applyFont="1"/>
    <xf numFmtId="0" fontId="19" fillId="0" borderId="0" xfId="42"/>
    <xf numFmtId="47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40EA1C2-10B7-4F92-B6CF-5C84FB0E7F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16D5-265A-4995-8EEE-44E0C6F06FDD}">
  <sheetPr filterMode="1"/>
  <dimension ref="A1:M6054"/>
  <sheetViews>
    <sheetView workbookViewId="0">
      <pane ySplit="1" topLeftCell="A2" activePane="bottomLeft" state="frozen"/>
      <selection pane="bottomLeft" activeCell="C6064" sqref="C6064"/>
    </sheetView>
  </sheetViews>
  <sheetFormatPr defaultRowHeight="15" x14ac:dyDescent="0.25"/>
  <cols>
    <col min="1" max="1" width="9.85546875" bestFit="1" customWidth="1"/>
    <col min="3" max="3" width="64.7109375" bestFit="1" customWidth="1"/>
  </cols>
  <sheetData>
    <row r="1" spans="1:13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I1" s="4" t="s">
        <v>11</v>
      </c>
      <c r="J1" s="2"/>
      <c r="L1" t="s">
        <v>13</v>
      </c>
      <c r="M1" t="b">
        <v>1</v>
      </c>
    </row>
    <row r="2" spans="1:13" hidden="1" x14ac:dyDescent="0.25">
      <c r="A2" t="s">
        <v>6</v>
      </c>
      <c r="B2">
        <v>314400</v>
      </c>
      <c r="C2" t="str">
        <f>"{"&amp;IF($M$1,"""Id"":"&amp;B2&amp;",","")&amp;"""Exported"":true}"</f>
        <v>{"Id":314400,"Exported":true}</v>
      </c>
      <c r="D2">
        <v>1</v>
      </c>
      <c r="E2" t="str">
        <f>C2</f>
        <v>{"Id":314400,"Exported":true}</v>
      </c>
      <c r="F2" t="str">
        <f>IF(OR(D2&gt;D3,NOT($M$1)),"(@eventId,'resource','"&amp;A2&amp;"',"&amp;B2&amp;","&amp;IF($M$1,"1","0")&amp;",0,"&amp;IF($M$1,"'["&amp;SUBSTITUTE(E2,"'","''")&amp;"]'","'"&amp;SUBSTITUTE(C2,"'","''")&amp;"'")&amp;"),","")</f>
        <v/>
      </c>
    </row>
    <row r="3" spans="1:13" hidden="1" x14ac:dyDescent="0.25">
      <c r="A3" t="s">
        <v>6</v>
      </c>
      <c r="B3">
        <v>314450</v>
      </c>
      <c r="C3" t="str">
        <f>"{"&amp;IF($M$1,"""Id"":"&amp;B3&amp;",","")&amp;"""Exported"":true}"</f>
        <v>{"Id":314450,"Exported":true}</v>
      </c>
      <c r="D3">
        <f>IF(OR(D2=50,(LEN(C3)+LEN(E2)+5)&gt;2000),1,D2+1)</f>
        <v>2</v>
      </c>
      <c r="E3" t="str">
        <f>IF(D3&gt;D2,E2&amp;","&amp;C3,C3)</f>
        <v>{"Id":314400,"Exported":true},{"Id":314450,"Exported":true}</v>
      </c>
      <c r="F3" t="str">
        <f>IF(OR(D3&gt;D4,NOT($M$1)),"(@eventId,'resource','"&amp;A3&amp;"',"&amp;B3&amp;","&amp;IF($M$1,"1","0")&amp;",0,"&amp;IF($M$1,"'["&amp;SUBSTITUTE(E3,"'","''")&amp;"]'","'"&amp;SUBSTITUTE(C3,"'","''")&amp;"'")&amp;"),","")</f>
        <v/>
      </c>
    </row>
    <row r="4" spans="1:13" hidden="1" x14ac:dyDescent="0.25">
      <c r="A4" t="s">
        <v>6</v>
      </c>
      <c r="B4">
        <v>314485</v>
      </c>
      <c r="C4" t="str">
        <f t="shared" ref="C4:C55" si="0">"{"&amp;IF($M$1,"""Id"":"&amp;B4&amp;",","")&amp;"""Exported"":true}"</f>
        <v>{"Id":314485,"Exported":true}</v>
      </c>
      <c r="D4">
        <f t="shared" ref="D4:D55" si="1">IF(OR(D3=50,(LEN(C4)+LEN(E3)+5)&gt;2000),1,D3+1)</f>
        <v>3</v>
      </c>
      <c r="E4" t="str">
        <f t="shared" ref="E4:E55" si="2">IF(D4&gt;D3,E3&amp;","&amp;C4,C4)</f>
        <v>{"Id":314400,"Exported":true},{"Id":314450,"Exported":true},{"Id":314485,"Exported":true}</v>
      </c>
      <c r="F4" t="str">
        <f t="shared" ref="F4:F55" si="3">IF(OR(D4&gt;D5,NOT($M$1)),"(@eventId,'resource','"&amp;A4&amp;"',"&amp;B4&amp;","&amp;IF($M$1,"1","0")&amp;",0,"&amp;IF($M$1,"'["&amp;SUBSTITUTE(E4,"'","''")&amp;"]'","'"&amp;SUBSTITUTE(C4,"'","''")&amp;"'")&amp;"),","")</f>
        <v/>
      </c>
    </row>
    <row r="5" spans="1:13" hidden="1" x14ac:dyDescent="0.25">
      <c r="A5" t="s">
        <v>6</v>
      </c>
      <c r="B5">
        <v>314519</v>
      </c>
      <c r="C5" t="str">
        <f t="shared" si="0"/>
        <v>{"Id":314519,"Exported":true}</v>
      </c>
      <c r="D5">
        <f t="shared" si="1"/>
        <v>4</v>
      </c>
      <c r="E5" t="str">
        <f t="shared" si="2"/>
        <v>{"Id":314400,"Exported":true},{"Id":314450,"Exported":true},{"Id":314485,"Exported":true},{"Id":314519,"Exported":true}</v>
      </c>
      <c r="F5" t="str">
        <f t="shared" si="3"/>
        <v/>
      </c>
    </row>
    <row r="6" spans="1:13" hidden="1" x14ac:dyDescent="0.25">
      <c r="A6" t="s">
        <v>6</v>
      </c>
      <c r="B6">
        <v>314520</v>
      </c>
      <c r="C6" t="str">
        <f t="shared" si="0"/>
        <v>{"Id":314520,"Exported":true}</v>
      </c>
      <c r="D6">
        <f t="shared" si="1"/>
        <v>5</v>
      </c>
      <c r="E6" t="str">
        <f t="shared" si="2"/>
        <v>{"Id":314400,"Exported":true},{"Id":314450,"Exported":true},{"Id":314485,"Exported":true},{"Id":314519,"Exported":true},{"Id":314520,"Exported":true}</v>
      </c>
      <c r="F6" t="str">
        <f t="shared" si="3"/>
        <v/>
      </c>
    </row>
    <row r="7" spans="1:13" hidden="1" x14ac:dyDescent="0.25">
      <c r="A7" t="s">
        <v>6</v>
      </c>
      <c r="B7">
        <v>314522</v>
      </c>
      <c r="C7" t="str">
        <f t="shared" si="0"/>
        <v>{"Id":314522,"Exported":true}</v>
      </c>
      <c r="D7">
        <f t="shared" si="1"/>
        <v>6</v>
      </c>
      <c r="E7" t="str">
        <f t="shared" si="2"/>
        <v>{"Id":314400,"Exported":true},{"Id":314450,"Exported":true},{"Id":314485,"Exported":true},{"Id":314519,"Exported":true},{"Id":314520,"Exported":true},{"Id":314522,"Exported":true}</v>
      </c>
      <c r="F7" t="str">
        <f t="shared" si="3"/>
        <v/>
      </c>
    </row>
    <row r="8" spans="1:13" hidden="1" x14ac:dyDescent="0.25">
      <c r="A8" t="s">
        <v>6</v>
      </c>
      <c r="B8">
        <v>314655</v>
      </c>
      <c r="C8" t="str">
        <f t="shared" si="0"/>
        <v>{"Id":314655,"Exported":true}</v>
      </c>
      <c r="D8">
        <f t="shared" si="1"/>
        <v>7</v>
      </c>
      <c r="E8" t="str">
        <f t="shared" si="2"/>
        <v>{"Id":314400,"Exported":true},{"Id":314450,"Exported":true},{"Id":314485,"Exported":true},{"Id":314519,"Exported":true},{"Id":314520,"Exported":true},{"Id":314522,"Exported":true},{"Id":314655,"Exported":true}</v>
      </c>
      <c r="F8" t="str">
        <f t="shared" si="3"/>
        <v/>
      </c>
    </row>
    <row r="9" spans="1:13" hidden="1" x14ac:dyDescent="0.25">
      <c r="A9" t="s">
        <v>6</v>
      </c>
      <c r="B9">
        <v>315362</v>
      </c>
      <c r="C9" t="str">
        <f t="shared" si="0"/>
        <v>{"Id":315362,"Exported":true}</v>
      </c>
      <c r="D9">
        <f t="shared" si="1"/>
        <v>8</v>
      </c>
      <c r="E9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</v>
      </c>
      <c r="F9" t="str">
        <f t="shared" si="3"/>
        <v/>
      </c>
    </row>
    <row r="10" spans="1:13" hidden="1" x14ac:dyDescent="0.25">
      <c r="A10" t="s">
        <v>6</v>
      </c>
      <c r="B10">
        <v>315368</v>
      </c>
      <c r="C10" t="str">
        <f t="shared" si="0"/>
        <v>{"Id":315368,"Exported":true}</v>
      </c>
      <c r="D10">
        <f t="shared" si="1"/>
        <v>9</v>
      </c>
      <c r="E10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</v>
      </c>
      <c r="F10" t="str">
        <f t="shared" si="3"/>
        <v/>
      </c>
    </row>
    <row r="11" spans="1:13" hidden="1" x14ac:dyDescent="0.25">
      <c r="A11" t="s">
        <v>6</v>
      </c>
      <c r="B11">
        <v>315369</v>
      </c>
      <c r="C11" t="str">
        <f t="shared" si="0"/>
        <v>{"Id":315369,"Exported":true}</v>
      </c>
      <c r="D11">
        <f t="shared" si="1"/>
        <v>10</v>
      </c>
      <c r="E11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</v>
      </c>
      <c r="F11" t="str">
        <f t="shared" si="3"/>
        <v/>
      </c>
    </row>
    <row r="12" spans="1:13" hidden="1" x14ac:dyDescent="0.25">
      <c r="A12" t="s">
        <v>6</v>
      </c>
      <c r="B12">
        <v>315370</v>
      </c>
      <c r="C12" t="str">
        <f t="shared" si="0"/>
        <v>{"Id":315370,"Exported":true}</v>
      </c>
      <c r="D12">
        <f t="shared" si="1"/>
        <v>11</v>
      </c>
      <c r="E12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</v>
      </c>
      <c r="F12" t="str">
        <f t="shared" si="3"/>
        <v/>
      </c>
    </row>
    <row r="13" spans="1:13" hidden="1" x14ac:dyDescent="0.25">
      <c r="A13" t="s">
        <v>6</v>
      </c>
      <c r="B13">
        <v>315401</v>
      </c>
      <c r="C13" t="str">
        <f t="shared" si="0"/>
        <v>{"Id":315401,"Exported":true}</v>
      </c>
      <c r="D13">
        <f t="shared" si="1"/>
        <v>12</v>
      </c>
      <c r="E13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</v>
      </c>
      <c r="F13" t="str">
        <f t="shared" si="3"/>
        <v/>
      </c>
    </row>
    <row r="14" spans="1:13" hidden="1" x14ac:dyDescent="0.25">
      <c r="A14" t="s">
        <v>6</v>
      </c>
      <c r="B14">
        <v>315436</v>
      </c>
      <c r="C14" t="str">
        <f t="shared" si="0"/>
        <v>{"Id":315436,"Exported":true}</v>
      </c>
      <c r="D14">
        <f t="shared" si="1"/>
        <v>13</v>
      </c>
      <c r="E14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</v>
      </c>
      <c r="F14" t="str">
        <f t="shared" si="3"/>
        <v/>
      </c>
    </row>
    <row r="15" spans="1:13" hidden="1" x14ac:dyDescent="0.25">
      <c r="A15" t="s">
        <v>6</v>
      </c>
      <c r="B15">
        <v>315437</v>
      </c>
      <c r="C15" t="str">
        <f t="shared" si="0"/>
        <v>{"Id":315437,"Exported":true}</v>
      </c>
      <c r="D15">
        <f t="shared" si="1"/>
        <v>14</v>
      </c>
      <c r="E15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</v>
      </c>
      <c r="F15" t="str">
        <f t="shared" si="3"/>
        <v/>
      </c>
    </row>
    <row r="16" spans="1:13" hidden="1" x14ac:dyDescent="0.25">
      <c r="A16" t="s">
        <v>6</v>
      </c>
      <c r="B16">
        <v>315446</v>
      </c>
      <c r="C16" t="str">
        <f t="shared" si="0"/>
        <v>{"Id":315446,"Exported":true}</v>
      </c>
      <c r="D16">
        <f t="shared" si="1"/>
        <v>15</v>
      </c>
      <c r="E16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</v>
      </c>
      <c r="F16" t="str">
        <f t="shared" si="3"/>
        <v/>
      </c>
    </row>
    <row r="17" spans="1:6" hidden="1" x14ac:dyDescent="0.25">
      <c r="A17" t="s">
        <v>6</v>
      </c>
      <c r="B17">
        <v>316044</v>
      </c>
      <c r="C17" t="str">
        <f t="shared" si="0"/>
        <v>{"Id":316044,"Exported":true}</v>
      </c>
      <c r="D17">
        <f t="shared" si="1"/>
        <v>16</v>
      </c>
      <c r="E17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</v>
      </c>
      <c r="F17" t="str">
        <f t="shared" si="3"/>
        <v/>
      </c>
    </row>
    <row r="18" spans="1:6" hidden="1" x14ac:dyDescent="0.25">
      <c r="A18" t="s">
        <v>6</v>
      </c>
      <c r="B18">
        <v>316052</v>
      </c>
      <c r="C18" t="str">
        <f t="shared" si="0"/>
        <v>{"Id":316052,"Exported":true}</v>
      </c>
      <c r="D18">
        <f t="shared" si="1"/>
        <v>17</v>
      </c>
      <c r="E18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</v>
      </c>
      <c r="F18" t="str">
        <f t="shared" si="3"/>
        <v/>
      </c>
    </row>
    <row r="19" spans="1:6" hidden="1" x14ac:dyDescent="0.25">
      <c r="A19" t="s">
        <v>6</v>
      </c>
      <c r="B19">
        <v>316053</v>
      </c>
      <c r="C19" t="str">
        <f t="shared" si="0"/>
        <v>{"Id":316053,"Exported":true}</v>
      </c>
      <c r="D19">
        <f t="shared" si="1"/>
        <v>18</v>
      </c>
      <c r="E19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</v>
      </c>
      <c r="F19" t="str">
        <f t="shared" si="3"/>
        <v/>
      </c>
    </row>
    <row r="20" spans="1:6" hidden="1" x14ac:dyDescent="0.25">
      <c r="A20" t="s">
        <v>6</v>
      </c>
      <c r="B20">
        <v>316131</v>
      </c>
      <c r="C20" t="str">
        <f t="shared" si="0"/>
        <v>{"Id":316131,"Exported":true}</v>
      </c>
      <c r="D20">
        <f t="shared" si="1"/>
        <v>19</v>
      </c>
      <c r="E20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</v>
      </c>
      <c r="F20" t="str">
        <f t="shared" si="3"/>
        <v/>
      </c>
    </row>
    <row r="21" spans="1:6" hidden="1" x14ac:dyDescent="0.25">
      <c r="A21" t="s">
        <v>6</v>
      </c>
      <c r="B21">
        <v>316133</v>
      </c>
      <c r="C21" t="str">
        <f t="shared" si="0"/>
        <v>{"Id":316133,"Exported":true}</v>
      </c>
      <c r="D21">
        <f t="shared" si="1"/>
        <v>20</v>
      </c>
      <c r="E21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</v>
      </c>
      <c r="F21" t="str">
        <f t="shared" si="3"/>
        <v/>
      </c>
    </row>
    <row r="22" spans="1:6" hidden="1" x14ac:dyDescent="0.25">
      <c r="A22" t="s">
        <v>6</v>
      </c>
      <c r="B22">
        <v>316134</v>
      </c>
      <c r="C22" t="str">
        <f t="shared" si="0"/>
        <v>{"Id":316134,"Exported":true}</v>
      </c>
      <c r="D22">
        <f t="shared" si="1"/>
        <v>21</v>
      </c>
      <c r="E22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</v>
      </c>
      <c r="F22" t="str">
        <f t="shared" si="3"/>
        <v/>
      </c>
    </row>
    <row r="23" spans="1:6" hidden="1" x14ac:dyDescent="0.25">
      <c r="A23" t="s">
        <v>6</v>
      </c>
      <c r="B23">
        <v>316257</v>
      </c>
      <c r="C23" t="str">
        <f t="shared" si="0"/>
        <v>{"Id":316257,"Exported":true}</v>
      </c>
      <c r="D23">
        <f t="shared" si="1"/>
        <v>22</v>
      </c>
      <c r="E23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</v>
      </c>
      <c r="F23" t="str">
        <f t="shared" si="3"/>
        <v/>
      </c>
    </row>
    <row r="24" spans="1:6" hidden="1" x14ac:dyDescent="0.25">
      <c r="A24" t="s">
        <v>6</v>
      </c>
      <c r="B24">
        <v>316664</v>
      </c>
      <c r="C24" t="str">
        <f t="shared" si="0"/>
        <v>{"Id":316664,"Exported":true}</v>
      </c>
      <c r="D24">
        <f t="shared" si="1"/>
        <v>23</v>
      </c>
      <c r="E24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</v>
      </c>
      <c r="F24" t="str">
        <f t="shared" si="3"/>
        <v/>
      </c>
    </row>
    <row r="25" spans="1:6" hidden="1" x14ac:dyDescent="0.25">
      <c r="A25" t="s">
        <v>6</v>
      </c>
      <c r="B25">
        <v>316665</v>
      </c>
      <c r="C25" t="str">
        <f t="shared" si="0"/>
        <v>{"Id":316665,"Exported":true}</v>
      </c>
      <c r="D25">
        <f t="shared" si="1"/>
        <v>24</v>
      </c>
      <c r="E25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</v>
      </c>
      <c r="F25" t="str">
        <f t="shared" si="3"/>
        <v/>
      </c>
    </row>
    <row r="26" spans="1:6" hidden="1" x14ac:dyDescent="0.25">
      <c r="A26" t="s">
        <v>6</v>
      </c>
      <c r="B26">
        <v>316666</v>
      </c>
      <c r="C26" t="str">
        <f t="shared" si="0"/>
        <v>{"Id":316666,"Exported":true}</v>
      </c>
      <c r="D26">
        <f t="shared" si="1"/>
        <v>25</v>
      </c>
      <c r="E26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</v>
      </c>
      <c r="F26" t="str">
        <f t="shared" si="3"/>
        <v/>
      </c>
    </row>
    <row r="27" spans="1:6" hidden="1" x14ac:dyDescent="0.25">
      <c r="A27" t="s">
        <v>6</v>
      </c>
      <c r="B27">
        <v>316820</v>
      </c>
      <c r="C27" t="str">
        <f t="shared" si="0"/>
        <v>{"Id":316820,"Exported":true}</v>
      </c>
      <c r="D27">
        <f t="shared" si="1"/>
        <v>26</v>
      </c>
      <c r="E27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</v>
      </c>
      <c r="F27" t="str">
        <f t="shared" si="3"/>
        <v/>
      </c>
    </row>
    <row r="28" spans="1:6" hidden="1" x14ac:dyDescent="0.25">
      <c r="A28" t="s">
        <v>6</v>
      </c>
      <c r="B28">
        <v>316821</v>
      </c>
      <c r="C28" t="str">
        <f t="shared" si="0"/>
        <v>{"Id":316821,"Exported":true}</v>
      </c>
      <c r="D28">
        <f t="shared" si="1"/>
        <v>27</v>
      </c>
      <c r="E28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</v>
      </c>
      <c r="F28" t="str">
        <f t="shared" si="3"/>
        <v/>
      </c>
    </row>
    <row r="29" spans="1:6" hidden="1" x14ac:dyDescent="0.25">
      <c r="A29" t="s">
        <v>6</v>
      </c>
      <c r="B29">
        <v>316825</v>
      </c>
      <c r="C29" t="str">
        <f t="shared" si="0"/>
        <v>{"Id":316825,"Exported":true}</v>
      </c>
      <c r="D29">
        <f t="shared" si="1"/>
        <v>28</v>
      </c>
      <c r="E29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</v>
      </c>
      <c r="F29" t="str">
        <f t="shared" si="3"/>
        <v/>
      </c>
    </row>
    <row r="30" spans="1:6" hidden="1" x14ac:dyDescent="0.25">
      <c r="A30" t="s">
        <v>6</v>
      </c>
      <c r="B30">
        <v>316826</v>
      </c>
      <c r="C30" t="str">
        <f t="shared" si="0"/>
        <v>{"Id":316826,"Exported":true}</v>
      </c>
      <c r="D30">
        <f t="shared" si="1"/>
        <v>29</v>
      </c>
      <c r="E30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</v>
      </c>
      <c r="F30" t="str">
        <f t="shared" si="3"/>
        <v/>
      </c>
    </row>
    <row r="31" spans="1:6" hidden="1" x14ac:dyDescent="0.25">
      <c r="A31" t="s">
        <v>6</v>
      </c>
      <c r="B31">
        <v>316925</v>
      </c>
      <c r="C31" t="str">
        <f t="shared" si="0"/>
        <v>{"Id":316925,"Exported":true}</v>
      </c>
      <c r="D31">
        <f t="shared" si="1"/>
        <v>30</v>
      </c>
      <c r="E31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</v>
      </c>
      <c r="F31" t="str">
        <f t="shared" si="3"/>
        <v/>
      </c>
    </row>
    <row r="32" spans="1:6" hidden="1" x14ac:dyDescent="0.25">
      <c r="A32" t="s">
        <v>6</v>
      </c>
      <c r="B32">
        <v>316982</v>
      </c>
      <c r="C32" t="str">
        <f t="shared" si="0"/>
        <v>{"Id":316982,"Exported":true}</v>
      </c>
      <c r="D32">
        <f t="shared" si="1"/>
        <v>31</v>
      </c>
      <c r="E32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</v>
      </c>
      <c r="F32" t="str">
        <f t="shared" si="3"/>
        <v/>
      </c>
    </row>
    <row r="33" spans="1:6" hidden="1" x14ac:dyDescent="0.25">
      <c r="A33" t="s">
        <v>6</v>
      </c>
      <c r="B33">
        <v>317031</v>
      </c>
      <c r="C33" t="str">
        <f t="shared" si="0"/>
        <v>{"Id":317031,"Exported":true}</v>
      </c>
      <c r="D33">
        <f t="shared" si="1"/>
        <v>32</v>
      </c>
      <c r="E33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</v>
      </c>
      <c r="F33" t="str">
        <f t="shared" si="3"/>
        <v/>
      </c>
    </row>
    <row r="34" spans="1:6" hidden="1" x14ac:dyDescent="0.25">
      <c r="A34" t="s">
        <v>6</v>
      </c>
      <c r="B34">
        <v>317038</v>
      </c>
      <c r="C34" t="str">
        <f t="shared" si="0"/>
        <v>{"Id":317038,"Exported":true}</v>
      </c>
      <c r="D34">
        <f t="shared" si="1"/>
        <v>33</v>
      </c>
      <c r="E34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</v>
      </c>
      <c r="F34" t="str">
        <f t="shared" si="3"/>
        <v/>
      </c>
    </row>
    <row r="35" spans="1:6" hidden="1" x14ac:dyDescent="0.25">
      <c r="A35" t="s">
        <v>6</v>
      </c>
      <c r="B35">
        <v>317040</v>
      </c>
      <c r="C35" t="str">
        <f t="shared" si="0"/>
        <v>{"Id":317040,"Exported":true}</v>
      </c>
      <c r="D35">
        <f t="shared" si="1"/>
        <v>34</v>
      </c>
      <c r="E35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</v>
      </c>
      <c r="F35" t="str">
        <f t="shared" si="3"/>
        <v/>
      </c>
    </row>
    <row r="36" spans="1:6" hidden="1" x14ac:dyDescent="0.25">
      <c r="A36" t="s">
        <v>6</v>
      </c>
      <c r="B36">
        <v>317198</v>
      </c>
      <c r="C36" t="str">
        <f t="shared" si="0"/>
        <v>{"Id":317198,"Exported":true}</v>
      </c>
      <c r="D36">
        <f t="shared" si="1"/>
        <v>35</v>
      </c>
      <c r="E36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</v>
      </c>
      <c r="F36" t="str">
        <f t="shared" si="3"/>
        <v/>
      </c>
    </row>
    <row r="37" spans="1:6" hidden="1" x14ac:dyDescent="0.25">
      <c r="A37" t="s">
        <v>6</v>
      </c>
      <c r="B37">
        <v>317200</v>
      </c>
      <c r="C37" t="str">
        <f t="shared" si="0"/>
        <v>{"Id":317200,"Exported":true}</v>
      </c>
      <c r="D37">
        <f t="shared" si="1"/>
        <v>36</v>
      </c>
      <c r="E37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</v>
      </c>
      <c r="F37" t="str">
        <f t="shared" si="3"/>
        <v/>
      </c>
    </row>
    <row r="38" spans="1:6" hidden="1" x14ac:dyDescent="0.25">
      <c r="A38" t="s">
        <v>6</v>
      </c>
      <c r="B38">
        <v>317366</v>
      </c>
      <c r="C38" t="str">
        <f t="shared" si="0"/>
        <v>{"Id":317366,"Exported":true}</v>
      </c>
      <c r="D38">
        <f t="shared" si="1"/>
        <v>37</v>
      </c>
      <c r="E38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</v>
      </c>
      <c r="F38" t="str">
        <f t="shared" si="3"/>
        <v/>
      </c>
    </row>
    <row r="39" spans="1:6" hidden="1" x14ac:dyDescent="0.25">
      <c r="A39" t="s">
        <v>6</v>
      </c>
      <c r="B39">
        <v>317369</v>
      </c>
      <c r="C39" t="str">
        <f t="shared" si="0"/>
        <v>{"Id":317369,"Exported":true}</v>
      </c>
      <c r="D39">
        <f t="shared" si="1"/>
        <v>38</v>
      </c>
      <c r="E39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</v>
      </c>
      <c r="F39" t="str">
        <f t="shared" si="3"/>
        <v/>
      </c>
    </row>
    <row r="40" spans="1:6" hidden="1" x14ac:dyDescent="0.25">
      <c r="A40" t="s">
        <v>6</v>
      </c>
      <c r="B40">
        <v>318022</v>
      </c>
      <c r="C40" t="str">
        <f t="shared" si="0"/>
        <v>{"Id":318022,"Exported":true}</v>
      </c>
      <c r="D40">
        <f t="shared" si="1"/>
        <v>39</v>
      </c>
      <c r="E40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</v>
      </c>
      <c r="F40" t="str">
        <f t="shared" si="3"/>
        <v/>
      </c>
    </row>
    <row r="41" spans="1:6" hidden="1" x14ac:dyDescent="0.25">
      <c r="A41" t="s">
        <v>6</v>
      </c>
      <c r="B41">
        <v>318051</v>
      </c>
      <c r="C41" t="str">
        <f t="shared" si="0"/>
        <v>{"Id":318051,"Exported":true}</v>
      </c>
      <c r="D41">
        <f t="shared" si="1"/>
        <v>40</v>
      </c>
      <c r="E41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</v>
      </c>
      <c r="F41" t="str">
        <f t="shared" si="3"/>
        <v/>
      </c>
    </row>
    <row r="42" spans="1:6" hidden="1" x14ac:dyDescent="0.25">
      <c r="A42" t="s">
        <v>6</v>
      </c>
      <c r="B42">
        <v>318057</v>
      </c>
      <c r="C42" t="str">
        <f t="shared" si="0"/>
        <v>{"Id":318057,"Exported":true}</v>
      </c>
      <c r="D42">
        <f t="shared" si="1"/>
        <v>41</v>
      </c>
      <c r="E42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</v>
      </c>
      <c r="F42" t="str">
        <f t="shared" si="3"/>
        <v/>
      </c>
    </row>
    <row r="43" spans="1:6" hidden="1" x14ac:dyDescent="0.25">
      <c r="A43" t="s">
        <v>6</v>
      </c>
      <c r="B43">
        <v>318550</v>
      </c>
      <c r="C43" t="str">
        <f t="shared" si="0"/>
        <v>{"Id":318550,"Exported":true}</v>
      </c>
      <c r="D43">
        <f t="shared" si="1"/>
        <v>42</v>
      </c>
      <c r="E43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</v>
      </c>
      <c r="F43" t="str">
        <f t="shared" si="3"/>
        <v/>
      </c>
    </row>
    <row r="44" spans="1:6" hidden="1" x14ac:dyDescent="0.25">
      <c r="A44" t="s">
        <v>6</v>
      </c>
      <c r="B44">
        <v>318551</v>
      </c>
      <c r="C44" t="str">
        <f t="shared" si="0"/>
        <v>{"Id":318551,"Exported":true}</v>
      </c>
      <c r="D44">
        <f t="shared" si="1"/>
        <v>43</v>
      </c>
      <c r="E44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</v>
      </c>
      <c r="F44" t="str">
        <f t="shared" si="3"/>
        <v/>
      </c>
    </row>
    <row r="45" spans="1:6" hidden="1" x14ac:dyDescent="0.25">
      <c r="A45" t="s">
        <v>6</v>
      </c>
      <c r="B45">
        <v>318552</v>
      </c>
      <c r="C45" t="str">
        <f t="shared" si="0"/>
        <v>{"Id":318552,"Exported":true}</v>
      </c>
      <c r="D45">
        <f t="shared" si="1"/>
        <v>44</v>
      </c>
      <c r="E45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</v>
      </c>
      <c r="F45" t="str">
        <f t="shared" si="3"/>
        <v/>
      </c>
    </row>
    <row r="46" spans="1:6" hidden="1" x14ac:dyDescent="0.25">
      <c r="A46" t="s">
        <v>6</v>
      </c>
      <c r="B46">
        <v>318553</v>
      </c>
      <c r="C46" t="str">
        <f t="shared" si="0"/>
        <v>{"Id":318553,"Exported":true}</v>
      </c>
      <c r="D46">
        <f t="shared" si="1"/>
        <v>45</v>
      </c>
      <c r="E46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</v>
      </c>
      <c r="F46" t="str">
        <f t="shared" si="3"/>
        <v/>
      </c>
    </row>
    <row r="47" spans="1:6" hidden="1" x14ac:dyDescent="0.25">
      <c r="A47" t="s">
        <v>6</v>
      </c>
      <c r="B47">
        <v>318554</v>
      </c>
      <c r="C47" t="str">
        <f t="shared" si="0"/>
        <v>{"Id":318554,"Exported":true}</v>
      </c>
      <c r="D47">
        <f t="shared" si="1"/>
        <v>46</v>
      </c>
      <c r="E47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</v>
      </c>
      <c r="F47" t="str">
        <f t="shared" si="3"/>
        <v/>
      </c>
    </row>
    <row r="48" spans="1:6" hidden="1" x14ac:dyDescent="0.25">
      <c r="A48" t="s">
        <v>6</v>
      </c>
      <c r="B48">
        <v>318555</v>
      </c>
      <c r="C48" t="str">
        <f t="shared" si="0"/>
        <v>{"Id":318555,"Exported":true}</v>
      </c>
      <c r="D48">
        <f t="shared" si="1"/>
        <v>47</v>
      </c>
      <c r="E48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,{"Id":318555,"Exported":true}</v>
      </c>
      <c r="F48" t="str">
        <f t="shared" si="3"/>
        <v/>
      </c>
    </row>
    <row r="49" spans="1:6" hidden="1" x14ac:dyDescent="0.25">
      <c r="A49" t="s">
        <v>6</v>
      </c>
      <c r="B49">
        <v>318556</v>
      </c>
      <c r="C49" t="str">
        <f t="shared" si="0"/>
        <v>{"Id":318556,"Exported":true}</v>
      </c>
      <c r="D49">
        <f t="shared" si="1"/>
        <v>48</v>
      </c>
      <c r="E49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,{"Id":318555,"Exported":true},{"Id":318556,"Exported":true}</v>
      </c>
      <c r="F49" t="str">
        <f t="shared" si="3"/>
        <v/>
      </c>
    </row>
    <row r="50" spans="1:6" hidden="1" x14ac:dyDescent="0.25">
      <c r="A50" t="s">
        <v>6</v>
      </c>
      <c r="B50">
        <v>318557</v>
      </c>
      <c r="C50" t="str">
        <f t="shared" si="0"/>
        <v>{"Id":318557,"Exported":true}</v>
      </c>
      <c r="D50">
        <f t="shared" si="1"/>
        <v>49</v>
      </c>
      <c r="E50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,{"Id":318555,"Exported":true},{"Id":318556,"Exported":true},{"Id":318557,"Exported":true}</v>
      </c>
      <c r="F50" t="str">
        <f t="shared" si="3"/>
        <v/>
      </c>
    </row>
    <row r="51" spans="1:6" x14ac:dyDescent="0.25">
      <c r="A51" t="s">
        <v>6</v>
      </c>
      <c r="B51">
        <v>318558</v>
      </c>
      <c r="C51" t="str">
        <f t="shared" si="0"/>
        <v>{"Id":318558,"Exported":true}</v>
      </c>
      <c r="D51">
        <f t="shared" si="1"/>
        <v>50</v>
      </c>
      <c r="E51" t="str">
        <f t="shared" si="2"/>
        <v>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,{"Id":318555,"Exported":true},{"Id":318556,"Exported":true},{"Id":318557,"Exported":true},{"Id":318558,"Exported":true}</v>
      </c>
      <c r="F51" t="str">
        <f t="shared" si="3"/>
        <v>(@eventId,'resource','Timesheet',318558,1,0,'[{"Id":314400,"Exported":true},{"Id":314450,"Exported":true},{"Id":314485,"Exported":true},{"Id":314519,"Exported":true},{"Id":314520,"Exported":true},{"Id":314522,"Exported":true},{"Id":314655,"Exported":true},{"Id":315362,"Exported":true},{"Id":315368,"Exported":true},{"Id":315369,"Exported":true},{"Id":315370,"Exported":true},{"Id":315401,"Exported":true},{"Id":315436,"Exported":true},{"Id":315437,"Exported":true},{"Id":315446,"Exported":true},{"Id":316044,"Exported":true},{"Id":316052,"Exported":true},{"Id":316053,"Exported":true},{"Id":316131,"Exported":true},{"Id":316133,"Exported":true},{"Id":316134,"Exported":true},{"Id":316257,"Exported":true},{"Id":316664,"Exported":true},{"Id":316665,"Exported":true},{"Id":316666,"Exported":true},{"Id":316820,"Exported":true},{"Id":316821,"Exported":true},{"Id":316825,"Exported":true},{"Id":316826,"Exported":true},{"Id":316925,"Exported":true},{"Id":316982,"Exported":true},{"Id":317031,"Exported":true},{"Id":317038,"Exported":true},{"Id":317040,"Exported":true},{"Id":317198,"Exported":true},{"Id":317200,"Exported":true},{"Id":317366,"Exported":true},{"Id":317369,"Exported":true},{"Id":318022,"Exported":true},{"Id":318051,"Exported":true},{"Id":318057,"Exported":true},{"Id":318550,"Exported":true},{"Id":318551,"Exported":true},{"Id":318552,"Exported":true},{"Id":318553,"Exported":true},{"Id":318554,"Exported":true},{"Id":318555,"Exported":true},{"Id":318556,"Exported":true},{"Id":318557,"Exported":true},{"Id":318558,"Exported":true}]'),</v>
      </c>
    </row>
    <row r="52" spans="1:6" hidden="1" x14ac:dyDescent="0.25">
      <c r="A52" t="s">
        <v>6</v>
      </c>
      <c r="B52">
        <v>318559</v>
      </c>
      <c r="C52" t="str">
        <f t="shared" si="0"/>
        <v>{"Id":318559,"Exported":true}</v>
      </c>
      <c r="D52">
        <f t="shared" si="1"/>
        <v>1</v>
      </c>
      <c r="E52" t="str">
        <f t="shared" si="2"/>
        <v>{"Id":318559,"Exported":true}</v>
      </c>
      <c r="F52" t="str">
        <f t="shared" si="3"/>
        <v/>
      </c>
    </row>
    <row r="53" spans="1:6" hidden="1" x14ac:dyDescent="0.25">
      <c r="A53" t="s">
        <v>6</v>
      </c>
      <c r="B53">
        <v>318560</v>
      </c>
      <c r="C53" t="str">
        <f t="shared" si="0"/>
        <v>{"Id":318560,"Exported":true}</v>
      </c>
      <c r="D53">
        <f t="shared" si="1"/>
        <v>2</v>
      </c>
      <c r="E53" t="str">
        <f t="shared" si="2"/>
        <v>{"Id":318559,"Exported":true},{"Id":318560,"Exported":true}</v>
      </c>
      <c r="F53" t="str">
        <f t="shared" si="3"/>
        <v/>
      </c>
    </row>
    <row r="54" spans="1:6" hidden="1" x14ac:dyDescent="0.25">
      <c r="A54" t="s">
        <v>6</v>
      </c>
      <c r="B54">
        <v>318561</v>
      </c>
      <c r="C54" t="str">
        <f t="shared" si="0"/>
        <v>{"Id":318561,"Exported":true}</v>
      </c>
      <c r="D54">
        <f t="shared" si="1"/>
        <v>3</v>
      </c>
      <c r="E54" t="str">
        <f t="shared" si="2"/>
        <v>{"Id":318559,"Exported":true},{"Id":318560,"Exported":true},{"Id":318561,"Exported":true}</v>
      </c>
      <c r="F54" t="str">
        <f t="shared" si="3"/>
        <v/>
      </c>
    </row>
    <row r="55" spans="1:6" x14ac:dyDescent="0.25">
      <c r="A55" t="s">
        <v>6</v>
      </c>
      <c r="B55">
        <v>318562</v>
      </c>
      <c r="C55" t="str">
        <f t="shared" si="0"/>
        <v>{"Id":318562,"Exported":true}</v>
      </c>
      <c r="D55">
        <f t="shared" si="1"/>
        <v>4</v>
      </c>
      <c r="E55" t="str">
        <f t="shared" si="2"/>
        <v>{"Id":318559,"Exported":true},{"Id":318560,"Exported":true},{"Id":318561,"Exported":true},{"Id":318562,"Exported":true}</v>
      </c>
      <c r="F55" t="str">
        <f t="shared" si="3"/>
        <v>(@eventId,'resource','Timesheet',318562,1,0,'[{"Id":318559,"Exported":true},{"Id":318560,"Exported":true},{"Id":318561,"Exported":true},{"Id":318562,"Exported":true}]'),</v>
      </c>
    </row>
    <row r="56" spans="1:6" hidden="1" x14ac:dyDescent="0.25"/>
    <row r="57" spans="1:6" hidden="1" x14ac:dyDescent="0.25"/>
    <row r="58" spans="1:6" hidden="1" x14ac:dyDescent="0.25"/>
    <row r="59" spans="1:6" hidden="1" x14ac:dyDescent="0.25"/>
    <row r="60" spans="1:6" hidden="1" x14ac:dyDescent="0.25"/>
    <row r="61" spans="1:6" hidden="1" x14ac:dyDescent="0.25"/>
    <row r="62" spans="1:6" hidden="1" x14ac:dyDescent="0.25"/>
    <row r="63" spans="1:6" hidden="1" x14ac:dyDescent="0.25"/>
    <row r="64" spans="1:6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</sheetData>
  <autoFilter ref="A1:F6054" xr:uid="{213984B9-DA3B-46AC-93B0-F5D6AE36B742}">
    <filterColumn colId="5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024E-A071-4867-AC61-581BE946CBA7}">
  <dimension ref="A1:AD339"/>
  <sheetViews>
    <sheetView workbookViewId="0">
      <pane ySplit="1" topLeftCell="A2" activePane="bottomLeft" state="frozen"/>
      <selection pane="bottomLeft" activeCell="G24" sqref="G24"/>
    </sheetView>
  </sheetViews>
  <sheetFormatPr defaultRowHeight="15" x14ac:dyDescent="0.25"/>
  <cols>
    <col min="1" max="1" width="9.85546875" bestFit="1" customWidth="1"/>
    <col min="3" max="3" width="7.5703125" bestFit="1" customWidth="1"/>
    <col min="5" max="5" width="17" customWidth="1"/>
  </cols>
  <sheetData>
    <row r="1" spans="1:30" x14ac:dyDescent="0.25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J1" s="4" t="s">
        <v>12</v>
      </c>
    </row>
    <row r="2" spans="1:30" x14ac:dyDescent="0.25">
      <c r="A2" t="s">
        <v>10</v>
      </c>
      <c r="B2">
        <v>463</v>
      </c>
      <c r="C2">
        <v>366807</v>
      </c>
      <c r="D2">
        <v>1</v>
      </c>
      <c r="E2">
        <f>C2</f>
        <v>366807</v>
      </c>
      <c r="F2" t="str">
        <f>IF(D2&gt;=D3,"(@eventId,'na','"&amp;A2&amp;"',"&amp;B2&amp;",0,0,'{""TimesheetIdArray"":["&amp;E2&amp;"]}'),","")</f>
        <v>(@eventId,'na','paid',463,0,0,'{"TimesheetIdArray":[366807]}'),</v>
      </c>
      <c r="V2" s="6"/>
      <c r="W2" s="6"/>
      <c r="AD2" s="6"/>
    </row>
    <row r="3" spans="1:30" x14ac:dyDescent="0.25">
      <c r="A3" t="s">
        <v>10</v>
      </c>
      <c r="B3">
        <v>471</v>
      </c>
      <c r="C3">
        <v>366765</v>
      </c>
      <c r="D3">
        <f>IF(OR(D2=50,(LEN(C3)+LEN(E2)+20)&gt;2000,B3&lt;&gt;B2),1,D2+1)</f>
        <v>1</v>
      </c>
      <c r="E3">
        <f>IF(D3&gt;D2,E2&amp;","&amp;C3,C3)</f>
        <v>366765</v>
      </c>
      <c r="F3" t="str">
        <f t="shared" ref="F3" si="0">IF(D3&gt;=D4,"(@eventId,'na','"&amp;A3&amp;"',"&amp;B3&amp;",0,0,'{""TimesheetIdArray"":["&amp;E3&amp;"]}'),","")</f>
        <v>(@eventId,'na','paid',471,0,0,'{"TimesheetIdArray":[366765]}'),</v>
      </c>
      <c r="Q3" s="6"/>
      <c r="R3" s="6"/>
      <c r="V3" s="6"/>
      <c r="W3" s="6"/>
      <c r="Y3" s="6"/>
      <c r="AD3" s="6"/>
    </row>
    <row r="4" spans="1:30" x14ac:dyDescent="0.25">
      <c r="A4" t="s">
        <v>10</v>
      </c>
      <c r="B4">
        <v>495</v>
      </c>
      <c r="C4">
        <v>366683</v>
      </c>
      <c r="D4">
        <f t="shared" ref="D4:D17" si="1">IF(OR(D3=50,(LEN(C4)+LEN(E3)+20)&gt;2000,B4&lt;&gt;B3),1,D3+1)</f>
        <v>1</v>
      </c>
      <c r="E4">
        <f t="shared" ref="E4:E17" si="2">IF(D4&gt;D3,E3&amp;","&amp;C4,C4)</f>
        <v>366683</v>
      </c>
      <c r="F4" t="str">
        <f t="shared" ref="F4:F17" si="3">IF(D4&gt;=D5,"(@eventId,'na','"&amp;A4&amp;"',"&amp;B4&amp;",0,0,'{""TimesheetIdArray"":["&amp;E4&amp;"]}'),","")</f>
        <v>(@eventId,'na','paid',495,0,0,'{"TimesheetIdArray":[366683]}'),</v>
      </c>
      <c r="Q4" s="6"/>
      <c r="R4" s="6"/>
      <c r="V4" s="6"/>
      <c r="W4" s="6"/>
      <c r="Y4" s="6"/>
      <c r="AD4" s="6"/>
    </row>
    <row r="5" spans="1:30" x14ac:dyDescent="0.25">
      <c r="A5" t="s">
        <v>10</v>
      </c>
      <c r="B5">
        <v>504</v>
      </c>
      <c r="C5">
        <v>366760</v>
      </c>
      <c r="D5">
        <f t="shared" si="1"/>
        <v>1</v>
      </c>
      <c r="E5">
        <f t="shared" si="2"/>
        <v>366760</v>
      </c>
      <c r="F5" t="str">
        <f t="shared" si="3"/>
        <v/>
      </c>
      <c r="Q5" s="6"/>
      <c r="R5" s="6"/>
      <c r="V5" s="6"/>
      <c r="W5" s="6"/>
      <c r="Y5" s="6"/>
      <c r="AD5" s="6"/>
    </row>
    <row r="6" spans="1:30" x14ac:dyDescent="0.25">
      <c r="A6" t="s">
        <v>10</v>
      </c>
      <c r="B6">
        <v>504</v>
      </c>
      <c r="C6">
        <v>366761</v>
      </c>
      <c r="D6">
        <f t="shared" si="1"/>
        <v>2</v>
      </c>
      <c r="E6" t="str">
        <f t="shared" si="2"/>
        <v>366760,366761</v>
      </c>
      <c r="F6" t="str">
        <f t="shared" si="3"/>
        <v/>
      </c>
      <c r="Q6" s="6"/>
      <c r="R6" s="6"/>
      <c r="V6" s="6"/>
      <c r="W6" s="6"/>
      <c r="Y6" s="6"/>
      <c r="AD6" s="6"/>
    </row>
    <row r="7" spans="1:30" x14ac:dyDescent="0.25">
      <c r="A7" t="s">
        <v>10</v>
      </c>
      <c r="B7">
        <v>504</v>
      </c>
      <c r="C7">
        <v>366762</v>
      </c>
      <c r="D7">
        <f t="shared" si="1"/>
        <v>3</v>
      </c>
      <c r="E7" t="str">
        <f t="shared" si="2"/>
        <v>366760,366761,366762</v>
      </c>
      <c r="F7" t="str">
        <f t="shared" si="3"/>
        <v/>
      </c>
      <c r="Q7" s="6"/>
      <c r="R7" s="6"/>
      <c r="V7" s="6"/>
      <c r="W7" s="6"/>
      <c r="Y7" s="6"/>
      <c r="AD7" s="6"/>
    </row>
    <row r="8" spans="1:30" x14ac:dyDescent="0.25">
      <c r="A8" t="s">
        <v>10</v>
      </c>
      <c r="B8">
        <v>504</v>
      </c>
      <c r="C8">
        <v>366763</v>
      </c>
      <c r="D8">
        <f t="shared" si="1"/>
        <v>4</v>
      </c>
      <c r="E8" t="str">
        <f t="shared" si="2"/>
        <v>366760,366761,366762,366763</v>
      </c>
      <c r="F8" t="str">
        <f t="shared" si="3"/>
        <v>(@eventId,'na','paid',504,0,0,'{"TimesheetIdArray":[366760,366761,366762,366763]}'),</v>
      </c>
      <c r="Q8" s="6"/>
      <c r="R8" s="6"/>
      <c r="V8" s="6"/>
      <c r="W8" s="6"/>
      <c r="Y8" s="6"/>
      <c r="AD8" s="6"/>
    </row>
    <row r="9" spans="1:30" x14ac:dyDescent="0.25">
      <c r="A9" t="s">
        <v>10</v>
      </c>
      <c r="B9">
        <v>512</v>
      </c>
      <c r="C9">
        <v>345204</v>
      </c>
      <c r="D9">
        <f t="shared" si="1"/>
        <v>1</v>
      </c>
      <c r="E9">
        <f t="shared" si="2"/>
        <v>345204</v>
      </c>
      <c r="F9" t="str">
        <f t="shared" si="3"/>
        <v/>
      </c>
      <c r="Q9" s="6"/>
      <c r="R9" s="6"/>
      <c r="V9" s="6"/>
      <c r="W9" s="6"/>
      <c r="Y9" s="6"/>
      <c r="AD9" s="6"/>
    </row>
    <row r="10" spans="1:30" x14ac:dyDescent="0.25">
      <c r="A10" t="s">
        <v>10</v>
      </c>
      <c r="B10">
        <v>512</v>
      </c>
      <c r="C10">
        <v>352746</v>
      </c>
      <c r="D10">
        <f t="shared" si="1"/>
        <v>2</v>
      </c>
      <c r="E10" t="str">
        <f t="shared" si="2"/>
        <v>345204,352746</v>
      </c>
      <c r="F10" t="str">
        <f t="shared" si="3"/>
        <v/>
      </c>
      <c r="Q10" s="6"/>
      <c r="R10" s="6"/>
      <c r="V10" s="6"/>
      <c r="W10" s="6"/>
      <c r="Y10" s="6"/>
      <c r="AD10" s="6"/>
    </row>
    <row r="11" spans="1:30" x14ac:dyDescent="0.25">
      <c r="A11" t="s">
        <v>10</v>
      </c>
      <c r="B11">
        <v>512</v>
      </c>
      <c r="C11">
        <v>352747</v>
      </c>
      <c r="D11">
        <f t="shared" si="1"/>
        <v>3</v>
      </c>
      <c r="E11" t="str">
        <f t="shared" si="2"/>
        <v>345204,352746,352747</v>
      </c>
      <c r="F11" t="str">
        <f t="shared" si="3"/>
        <v/>
      </c>
      <c r="Q11" s="6"/>
      <c r="R11" s="6"/>
      <c r="V11" s="6"/>
      <c r="W11" s="6"/>
      <c r="Y11" s="6"/>
      <c r="AD11" s="6"/>
    </row>
    <row r="12" spans="1:30" ht="13.5" customHeight="1" x14ac:dyDescent="0.25">
      <c r="A12" t="s">
        <v>10</v>
      </c>
      <c r="B12">
        <v>512</v>
      </c>
      <c r="C12">
        <v>353638</v>
      </c>
      <c r="D12">
        <f t="shared" si="1"/>
        <v>4</v>
      </c>
      <c r="E12" t="str">
        <f t="shared" si="2"/>
        <v>345204,352746,352747,353638</v>
      </c>
      <c r="F12" t="str">
        <f t="shared" si="3"/>
        <v/>
      </c>
      <c r="Q12" s="6"/>
      <c r="R12" s="6"/>
      <c r="V12" s="6"/>
      <c r="W12" s="6"/>
      <c r="Y12" s="6"/>
      <c r="AD12" s="6"/>
    </row>
    <row r="13" spans="1:30" x14ac:dyDescent="0.25">
      <c r="A13" t="s">
        <v>10</v>
      </c>
      <c r="B13">
        <v>512</v>
      </c>
      <c r="C13">
        <v>353642</v>
      </c>
      <c r="D13">
        <f t="shared" si="1"/>
        <v>5</v>
      </c>
      <c r="E13" t="str">
        <f t="shared" si="2"/>
        <v>345204,352746,352747,353638,353642</v>
      </c>
      <c r="F13" t="str">
        <f t="shared" si="3"/>
        <v/>
      </c>
      <c r="Q13" s="6"/>
      <c r="R13" s="6"/>
      <c r="V13" s="6"/>
      <c r="W13" s="6"/>
      <c r="Y13" s="6"/>
      <c r="AD13" s="6"/>
    </row>
    <row r="14" spans="1:30" x14ac:dyDescent="0.25">
      <c r="A14" t="s">
        <v>10</v>
      </c>
      <c r="B14">
        <v>512</v>
      </c>
      <c r="C14">
        <v>358846</v>
      </c>
      <c r="D14">
        <f t="shared" si="1"/>
        <v>6</v>
      </c>
      <c r="E14" t="str">
        <f t="shared" si="2"/>
        <v>345204,352746,352747,353638,353642,358846</v>
      </c>
      <c r="F14" t="str">
        <f t="shared" si="3"/>
        <v/>
      </c>
      <c r="Q14" s="6"/>
      <c r="R14" s="6"/>
      <c r="V14" s="6"/>
      <c r="W14" s="6"/>
      <c r="Y14" s="6"/>
      <c r="AD14" s="6"/>
    </row>
    <row r="15" spans="1:30" x14ac:dyDescent="0.25">
      <c r="A15" t="s">
        <v>10</v>
      </c>
      <c r="B15">
        <v>512</v>
      </c>
      <c r="C15">
        <v>358917</v>
      </c>
      <c r="D15">
        <f t="shared" si="1"/>
        <v>7</v>
      </c>
      <c r="E15" t="str">
        <f t="shared" si="2"/>
        <v>345204,352746,352747,353638,353642,358846,358917</v>
      </c>
      <c r="F15" t="str">
        <f t="shared" si="3"/>
        <v/>
      </c>
      <c r="Q15" s="6"/>
      <c r="R15" s="6"/>
      <c r="V15" s="6"/>
      <c r="W15" s="6"/>
      <c r="Y15" s="6"/>
      <c r="AD15" s="6"/>
    </row>
    <row r="16" spans="1:30" x14ac:dyDescent="0.25">
      <c r="A16" t="s">
        <v>10</v>
      </c>
      <c r="B16">
        <v>512</v>
      </c>
      <c r="C16">
        <v>358918</v>
      </c>
      <c r="D16">
        <f t="shared" si="1"/>
        <v>8</v>
      </c>
      <c r="E16" t="str">
        <f t="shared" si="2"/>
        <v>345204,352746,352747,353638,353642,358846,358917,358918</v>
      </c>
      <c r="F16" t="str">
        <f t="shared" si="3"/>
        <v/>
      </c>
      <c r="Q16" s="6"/>
      <c r="R16" s="6"/>
      <c r="V16" s="6"/>
      <c r="W16" s="6"/>
      <c r="Y16" s="6"/>
      <c r="AD16" s="6"/>
    </row>
    <row r="17" spans="1:30" x14ac:dyDescent="0.25">
      <c r="A17" t="s">
        <v>10</v>
      </c>
      <c r="B17">
        <v>512</v>
      </c>
      <c r="C17">
        <v>358919</v>
      </c>
      <c r="D17">
        <f t="shared" si="1"/>
        <v>9</v>
      </c>
      <c r="E17" t="str">
        <f t="shared" si="2"/>
        <v>345204,352746,352747,353638,353642,358846,358917,358918,358919</v>
      </c>
      <c r="F17" t="str">
        <f t="shared" si="3"/>
        <v>(@eventId,'na','paid',512,0,0,'{"TimesheetIdArray":[345204,352746,352747,353638,353642,358846,358917,358918,358919]}'),</v>
      </c>
      <c r="Q17" s="6"/>
      <c r="R17" s="6"/>
      <c r="V17" s="6"/>
      <c r="W17" s="6"/>
      <c r="Y17" s="6"/>
      <c r="AD17" s="6"/>
    </row>
    <row r="18" spans="1:30" x14ac:dyDescent="0.25">
      <c r="Q18" s="6"/>
      <c r="R18" s="6"/>
      <c r="V18" s="6"/>
      <c r="W18" s="6"/>
      <c r="Y18" s="6"/>
      <c r="AD18" s="6"/>
    </row>
    <row r="19" spans="1:30" x14ac:dyDescent="0.25">
      <c r="Q19" s="6"/>
      <c r="R19" s="6"/>
      <c r="V19" s="6"/>
      <c r="W19" s="6"/>
      <c r="Y19" s="6"/>
      <c r="AD19" s="6"/>
    </row>
    <row r="20" spans="1:30" x14ac:dyDescent="0.25">
      <c r="Q20" s="6"/>
      <c r="R20" s="6"/>
      <c r="V20" s="6"/>
      <c r="W20" s="6"/>
      <c r="Y20" s="6"/>
      <c r="AD20" s="6"/>
    </row>
    <row r="21" spans="1:30" x14ac:dyDescent="0.25">
      <c r="Q21" s="6"/>
      <c r="R21" s="6"/>
      <c r="V21" s="6"/>
      <c r="W21" s="6"/>
      <c r="Y21" s="6"/>
      <c r="AD21" s="6"/>
    </row>
    <row r="22" spans="1:30" x14ac:dyDescent="0.25">
      <c r="Q22" s="6"/>
      <c r="R22" s="6"/>
      <c r="V22" s="6"/>
      <c r="W22" s="6"/>
      <c r="Y22" s="6"/>
      <c r="AD22" s="6"/>
    </row>
    <row r="23" spans="1:30" x14ac:dyDescent="0.25">
      <c r="Q23" s="6"/>
      <c r="R23" s="6"/>
      <c r="V23" s="6"/>
      <c r="W23" s="6"/>
      <c r="Y23" s="6"/>
      <c r="AD23" s="6"/>
    </row>
    <row r="24" spans="1:30" x14ac:dyDescent="0.25">
      <c r="Q24" s="6"/>
      <c r="R24" s="6"/>
      <c r="V24" s="6"/>
      <c r="W24" s="6"/>
      <c r="Y24" s="6"/>
      <c r="AD24" s="6"/>
    </row>
    <row r="25" spans="1:30" x14ac:dyDescent="0.25">
      <c r="Q25" s="6"/>
      <c r="R25" s="6"/>
      <c r="V25" s="6"/>
      <c r="W25" s="6"/>
      <c r="Y25" s="6"/>
      <c r="AD25" s="6"/>
    </row>
    <row r="26" spans="1:30" x14ac:dyDescent="0.25">
      <c r="Q26" s="6"/>
      <c r="R26" s="6"/>
      <c r="V26" s="6"/>
      <c r="W26" s="6"/>
      <c r="Y26" s="6"/>
      <c r="AD26" s="6"/>
    </row>
    <row r="27" spans="1:30" x14ac:dyDescent="0.25">
      <c r="Q27" s="6"/>
      <c r="R27" s="6"/>
      <c r="V27" s="6"/>
      <c r="W27" s="6"/>
      <c r="Y27" s="6"/>
      <c r="AD27" s="6"/>
    </row>
    <row r="28" spans="1:30" x14ac:dyDescent="0.25">
      <c r="Q28" s="6"/>
      <c r="R28" s="6"/>
      <c r="V28" s="6"/>
      <c r="W28" s="6"/>
      <c r="Y28" s="6"/>
      <c r="AD28" s="6"/>
    </row>
    <row r="29" spans="1:30" x14ac:dyDescent="0.25">
      <c r="Q29" s="6"/>
      <c r="R29" s="6"/>
      <c r="V29" s="6"/>
      <c r="W29" s="6"/>
      <c r="Y29" s="6"/>
      <c r="AD29" s="6"/>
    </row>
    <row r="30" spans="1:30" x14ac:dyDescent="0.25">
      <c r="Q30" s="6"/>
      <c r="R30" s="6"/>
      <c r="V30" s="6"/>
      <c r="W30" s="6"/>
      <c r="Y30" s="6"/>
      <c r="AD30" s="6"/>
    </row>
    <row r="31" spans="1:30" x14ac:dyDescent="0.25">
      <c r="Q31" s="6"/>
      <c r="R31" s="6"/>
      <c r="V31" s="6"/>
      <c r="W31" s="6"/>
      <c r="Y31" s="6"/>
      <c r="AD31" s="6"/>
    </row>
    <row r="32" spans="1:30" x14ac:dyDescent="0.25">
      <c r="Q32" s="6"/>
      <c r="R32" s="6"/>
      <c r="V32" s="6"/>
      <c r="W32" s="6"/>
      <c r="Y32" s="6"/>
      <c r="AD32" s="6"/>
    </row>
    <row r="33" spans="17:30" x14ac:dyDescent="0.25">
      <c r="Q33" s="6"/>
      <c r="R33" s="6"/>
      <c r="V33" s="6"/>
      <c r="W33" s="6"/>
      <c r="Y33" s="6"/>
      <c r="AD33" s="6"/>
    </row>
    <row r="34" spans="17:30" x14ac:dyDescent="0.25">
      <c r="Q34" s="6"/>
      <c r="R34" s="6"/>
      <c r="V34" s="6"/>
      <c r="W34" s="6"/>
      <c r="Y34" s="6"/>
      <c r="AD34" s="6"/>
    </row>
    <row r="35" spans="17:30" x14ac:dyDescent="0.25">
      <c r="Q35" s="6"/>
      <c r="R35" s="6"/>
      <c r="V35" s="6"/>
      <c r="W35" s="6"/>
      <c r="Y35" s="6"/>
      <c r="AD35" s="6"/>
    </row>
    <row r="36" spans="17:30" x14ac:dyDescent="0.25">
      <c r="Q36" s="6"/>
      <c r="R36" s="6"/>
      <c r="V36" s="6"/>
      <c r="W36" s="6"/>
      <c r="Y36" s="6"/>
      <c r="AD36" s="6"/>
    </row>
    <row r="37" spans="17:30" x14ac:dyDescent="0.25">
      <c r="Q37" s="6"/>
      <c r="R37" s="6"/>
      <c r="V37" s="6"/>
      <c r="W37" s="6"/>
      <c r="Y37" s="6"/>
      <c r="AD37" s="6"/>
    </row>
    <row r="38" spans="17:30" x14ac:dyDescent="0.25">
      <c r="Q38" s="6"/>
      <c r="R38" s="6"/>
      <c r="V38" s="6"/>
      <c r="W38" s="6"/>
      <c r="Y38" s="6"/>
      <c r="AD38" s="6"/>
    </row>
    <row r="39" spans="17:30" x14ac:dyDescent="0.25">
      <c r="Q39" s="6"/>
      <c r="R39" s="6"/>
      <c r="V39" s="6"/>
      <c r="W39" s="6"/>
      <c r="Y39" s="6"/>
      <c r="AD39" s="6"/>
    </row>
    <row r="40" spans="17:30" x14ac:dyDescent="0.25">
      <c r="Q40" s="6"/>
      <c r="R40" s="6"/>
      <c r="V40" s="6"/>
      <c r="W40" s="6"/>
      <c r="Y40" s="6"/>
      <c r="AD40" s="6"/>
    </row>
    <row r="41" spans="17:30" x14ac:dyDescent="0.25">
      <c r="Q41" s="6"/>
      <c r="R41" s="6"/>
      <c r="V41" s="6"/>
      <c r="W41" s="6"/>
      <c r="Y41" s="6"/>
      <c r="AD41" s="6"/>
    </row>
    <row r="42" spans="17:30" x14ac:dyDescent="0.25">
      <c r="Q42" s="6"/>
      <c r="R42" s="6"/>
      <c r="V42" s="6"/>
      <c r="W42" s="6"/>
      <c r="Y42" s="6"/>
      <c r="AD42" s="6"/>
    </row>
    <row r="43" spans="17:30" x14ac:dyDescent="0.25">
      <c r="Q43" s="6"/>
      <c r="R43" s="6"/>
      <c r="V43" s="6"/>
      <c r="W43" s="6"/>
      <c r="Y43" s="6"/>
      <c r="AD43" s="6"/>
    </row>
    <row r="44" spans="17:30" x14ac:dyDescent="0.25">
      <c r="Q44" s="6"/>
      <c r="R44" s="6"/>
      <c r="V44" s="6"/>
      <c r="W44" s="6"/>
      <c r="Y44" s="6"/>
      <c r="AD44" s="6"/>
    </row>
    <row r="45" spans="17:30" x14ac:dyDescent="0.25">
      <c r="Q45" s="6"/>
      <c r="R45" s="6"/>
      <c r="V45" s="6"/>
      <c r="W45" s="6"/>
      <c r="Y45" s="6"/>
      <c r="AD45" s="6"/>
    </row>
    <row r="46" spans="17:30" x14ac:dyDescent="0.25">
      <c r="Q46" s="6"/>
      <c r="R46" s="6"/>
      <c r="V46" s="6"/>
      <c r="W46" s="6"/>
      <c r="Y46" s="6"/>
      <c r="AD46" s="6"/>
    </row>
    <row r="47" spans="17:30" x14ac:dyDescent="0.25">
      <c r="Q47" s="6"/>
      <c r="R47" s="6"/>
      <c r="V47" s="6"/>
      <c r="W47" s="6"/>
      <c r="Y47" s="6"/>
      <c r="AD47" s="6"/>
    </row>
    <row r="48" spans="17:30" x14ac:dyDescent="0.25">
      <c r="Q48" s="6"/>
      <c r="R48" s="6"/>
      <c r="V48" s="6"/>
      <c r="W48" s="6"/>
      <c r="Y48" s="6"/>
      <c r="AD48" s="6"/>
    </row>
    <row r="49" spans="17:30" x14ac:dyDescent="0.25">
      <c r="Q49" s="6"/>
      <c r="R49" s="6"/>
      <c r="V49" s="6"/>
      <c r="W49" s="6"/>
      <c r="Y49" s="6"/>
      <c r="AD49" s="6"/>
    </row>
    <row r="50" spans="17:30" x14ac:dyDescent="0.25">
      <c r="Q50" s="6"/>
      <c r="R50" s="6"/>
      <c r="V50" s="6"/>
      <c r="W50" s="6"/>
      <c r="Y50" s="6"/>
      <c r="AD50" s="6"/>
    </row>
    <row r="51" spans="17:30" x14ac:dyDescent="0.25">
      <c r="Q51" s="6"/>
      <c r="R51" s="6"/>
      <c r="V51" s="6"/>
      <c r="W51" s="6"/>
      <c r="Y51" s="6"/>
      <c r="AD51" s="6"/>
    </row>
    <row r="52" spans="17:30" x14ac:dyDescent="0.25">
      <c r="Q52" s="6"/>
      <c r="R52" s="6"/>
      <c r="V52" s="6"/>
      <c r="W52" s="6"/>
      <c r="Y52" s="6"/>
      <c r="AD52" s="6"/>
    </row>
    <row r="53" spans="17:30" x14ac:dyDescent="0.25">
      <c r="Q53" s="6"/>
      <c r="R53" s="6"/>
      <c r="V53" s="6"/>
      <c r="W53" s="6"/>
      <c r="Y53" s="6"/>
      <c r="AD53" s="6"/>
    </row>
    <row r="54" spans="17:30" x14ac:dyDescent="0.25">
      <c r="Q54" s="6"/>
      <c r="R54" s="6"/>
      <c r="V54" s="6"/>
      <c r="W54" s="6"/>
      <c r="Y54" s="6"/>
      <c r="AD54" s="6"/>
    </row>
    <row r="55" spans="17:30" x14ac:dyDescent="0.25">
      <c r="Q55" s="6"/>
      <c r="R55" s="6"/>
      <c r="V55" s="6"/>
      <c r="W55" s="6"/>
      <c r="Y55" s="6"/>
      <c r="AD55" s="6"/>
    </row>
    <row r="56" spans="17:30" x14ac:dyDescent="0.25">
      <c r="Q56" s="6"/>
      <c r="R56" s="6"/>
      <c r="V56" s="6"/>
      <c r="W56" s="6"/>
      <c r="Y56" s="6"/>
      <c r="AD56" s="6"/>
    </row>
    <row r="57" spans="17:30" x14ac:dyDescent="0.25">
      <c r="Q57" s="6"/>
      <c r="R57" s="6"/>
      <c r="V57" s="6"/>
      <c r="W57" s="6"/>
      <c r="Y57" s="6"/>
      <c r="AD57" s="6"/>
    </row>
    <row r="58" spans="17:30" x14ac:dyDescent="0.25">
      <c r="Q58" s="6"/>
      <c r="R58" s="6"/>
      <c r="V58" s="6"/>
      <c r="W58" s="6"/>
      <c r="Y58" s="6"/>
      <c r="AD58" s="6"/>
    </row>
    <row r="59" spans="17:30" x14ac:dyDescent="0.25">
      <c r="Q59" s="6"/>
      <c r="R59" s="6"/>
      <c r="V59" s="6"/>
      <c r="W59" s="6"/>
      <c r="Y59" s="6"/>
      <c r="AD59" s="6"/>
    </row>
    <row r="60" spans="17:30" x14ac:dyDescent="0.25">
      <c r="Q60" s="6"/>
      <c r="R60" s="6"/>
      <c r="V60" s="6"/>
      <c r="W60" s="6"/>
      <c r="Y60" s="6"/>
      <c r="AD60" s="6"/>
    </row>
    <row r="61" spans="17:30" x14ac:dyDescent="0.25">
      <c r="Q61" s="6"/>
      <c r="R61" s="6"/>
      <c r="V61" s="6"/>
      <c r="W61" s="6"/>
      <c r="Y61" s="6"/>
      <c r="AD61" s="6"/>
    </row>
    <row r="62" spans="17:30" x14ac:dyDescent="0.25">
      <c r="Q62" s="6"/>
      <c r="R62" s="6"/>
      <c r="V62" s="6"/>
      <c r="W62" s="6"/>
      <c r="Y62" s="6"/>
      <c r="AD62" s="6"/>
    </row>
    <row r="63" spans="17:30" x14ac:dyDescent="0.25">
      <c r="Q63" s="6"/>
      <c r="R63" s="6"/>
      <c r="V63" s="6"/>
      <c r="W63" s="6"/>
      <c r="Y63" s="6"/>
      <c r="AD63" s="6"/>
    </row>
    <row r="64" spans="17:30" x14ac:dyDescent="0.25">
      <c r="Q64" s="6"/>
      <c r="R64" s="6"/>
      <c r="V64" s="6"/>
      <c r="W64" s="6"/>
      <c r="Y64" s="6"/>
      <c r="AD64" s="6"/>
    </row>
    <row r="65" spans="17:30" x14ac:dyDescent="0.25">
      <c r="Q65" s="6"/>
      <c r="R65" s="6"/>
      <c r="V65" s="6"/>
      <c r="W65" s="6"/>
      <c r="Y65" s="6"/>
      <c r="AD65" s="6"/>
    </row>
    <row r="66" spans="17:30" x14ac:dyDescent="0.25">
      <c r="Q66" s="6"/>
      <c r="R66" s="6"/>
      <c r="V66" s="6"/>
      <c r="W66" s="6"/>
      <c r="Y66" s="6"/>
      <c r="AD66" s="6"/>
    </row>
    <row r="67" spans="17:30" x14ac:dyDescent="0.25">
      <c r="Q67" s="6"/>
      <c r="R67" s="6"/>
      <c r="V67" s="6"/>
      <c r="W67" s="6"/>
      <c r="Y67" s="6"/>
      <c r="AD67" s="6"/>
    </row>
    <row r="68" spans="17:30" x14ac:dyDescent="0.25">
      <c r="Q68" s="6"/>
      <c r="R68" s="6"/>
      <c r="V68" s="6"/>
      <c r="W68" s="6"/>
      <c r="Y68" s="6"/>
      <c r="AD68" s="6"/>
    </row>
    <row r="69" spans="17:30" x14ac:dyDescent="0.25">
      <c r="Q69" s="6"/>
      <c r="R69" s="6"/>
      <c r="V69" s="6"/>
      <c r="W69" s="6"/>
      <c r="Y69" s="6"/>
      <c r="AD69" s="6"/>
    </row>
    <row r="70" spans="17:30" x14ac:dyDescent="0.25">
      <c r="Q70" s="6"/>
      <c r="R70" s="6"/>
      <c r="V70" s="6"/>
      <c r="W70" s="6"/>
      <c r="Y70" s="6"/>
      <c r="AD70" s="6"/>
    </row>
    <row r="71" spans="17:30" x14ac:dyDescent="0.25">
      <c r="V71" s="6"/>
      <c r="W71" s="6"/>
      <c r="AD71" s="6"/>
    </row>
    <row r="72" spans="17:30" x14ac:dyDescent="0.25">
      <c r="V72" s="6"/>
      <c r="W72" s="6"/>
      <c r="AD72" s="6"/>
    </row>
    <row r="73" spans="17:30" x14ac:dyDescent="0.25">
      <c r="V73" s="6"/>
      <c r="W73" s="6"/>
      <c r="AD73" s="6"/>
    </row>
    <row r="74" spans="17:30" x14ac:dyDescent="0.25">
      <c r="V74" s="6"/>
      <c r="W74" s="6"/>
      <c r="AD74" s="6"/>
    </row>
    <row r="75" spans="17:30" x14ac:dyDescent="0.25">
      <c r="V75" s="6"/>
      <c r="W75" s="6"/>
      <c r="AD75" s="6"/>
    </row>
    <row r="76" spans="17:30" x14ac:dyDescent="0.25">
      <c r="V76" s="6"/>
      <c r="W76" s="6"/>
      <c r="AD76" s="6"/>
    </row>
    <row r="77" spans="17:30" x14ac:dyDescent="0.25">
      <c r="V77" s="6"/>
      <c r="W77" s="6"/>
      <c r="AD77" s="6"/>
    </row>
    <row r="78" spans="17:30" x14ac:dyDescent="0.25">
      <c r="V78" s="6"/>
      <c r="W78" s="6"/>
      <c r="AD78" s="6"/>
    </row>
    <row r="79" spans="17:30" x14ac:dyDescent="0.25">
      <c r="V79" s="6"/>
      <c r="W79" s="6"/>
      <c r="AD79" s="6"/>
    </row>
    <row r="80" spans="17:30" x14ac:dyDescent="0.25">
      <c r="V80" s="6"/>
      <c r="W80" s="6"/>
      <c r="AD80" s="6"/>
    </row>
    <row r="81" spans="22:30" x14ac:dyDescent="0.25">
      <c r="V81" s="6"/>
      <c r="W81" s="6"/>
      <c r="AD81" s="6"/>
    </row>
    <row r="82" spans="22:30" x14ac:dyDescent="0.25">
      <c r="V82" s="6"/>
      <c r="W82" s="6"/>
      <c r="AD82" s="6"/>
    </row>
    <row r="83" spans="22:30" x14ac:dyDescent="0.25">
      <c r="V83" s="6"/>
      <c r="W83" s="6"/>
      <c r="AD83" s="6"/>
    </row>
    <row r="84" spans="22:30" x14ac:dyDescent="0.25">
      <c r="V84" s="6"/>
      <c r="W84" s="6"/>
      <c r="AD84" s="6"/>
    </row>
    <row r="85" spans="22:30" x14ac:dyDescent="0.25">
      <c r="V85" s="6"/>
      <c r="W85" s="6"/>
      <c r="AD85" s="6"/>
    </row>
    <row r="86" spans="22:30" x14ac:dyDescent="0.25">
      <c r="V86" s="6"/>
      <c r="W86" s="6"/>
      <c r="AD86" s="6"/>
    </row>
    <row r="87" spans="22:30" x14ac:dyDescent="0.25">
      <c r="V87" s="6"/>
      <c r="W87" s="6"/>
      <c r="AD87" s="6"/>
    </row>
    <row r="88" spans="22:30" x14ac:dyDescent="0.25">
      <c r="V88" s="6"/>
      <c r="W88" s="6"/>
      <c r="AD88" s="6"/>
    </row>
    <row r="89" spans="22:30" x14ac:dyDescent="0.25">
      <c r="V89" s="6"/>
      <c r="W89" s="6"/>
      <c r="AD89" s="6"/>
    </row>
    <row r="90" spans="22:30" x14ac:dyDescent="0.25">
      <c r="V90" s="6"/>
      <c r="W90" s="6"/>
      <c r="AD90" s="6"/>
    </row>
    <row r="91" spans="22:30" x14ac:dyDescent="0.25">
      <c r="V91" s="6"/>
      <c r="W91" s="6"/>
      <c r="AD91" s="6"/>
    </row>
    <row r="92" spans="22:30" x14ac:dyDescent="0.25">
      <c r="V92" s="6"/>
      <c r="W92" s="6"/>
      <c r="AD92" s="6"/>
    </row>
    <row r="93" spans="22:30" x14ac:dyDescent="0.25">
      <c r="V93" s="6"/>
      <c r="W93" s="6"/>
      <c r="AD93" s="6"/>
    </row>
    <row r="94" spans="22:30" x14ac:dyDescent="0.25">
      <c r="V94" s="6"/>
      <c r="W94" s="6"/>
      <c r="AD94" s="6"/>
    </row>
    <row r="95" spans="22:30" x14ac:dyDescent="0.25">
      <c r="V95" s="6"/>
      <c r="W95" s="6"/>
      <c r="AD95" s="6"/>
    </row>
    <row r="96" spans="22:30" x14ac:dyDescent="0.25">
      <c r="V96" s="6"/>
      <c r="W96" s="6"/>
      <c r="AD96" s="6"/>
    </row>
    <row r="97" spans="22:30" x14ac:dyDescent="0.25">
      <c r="V97" s="6"/>
      <c r="W97" s="6"/>
      <c r="AD97" s="6"/>
    </row>
    <row r="98" spans="22:30" x14ac:dyDescent="0.25">
      <c r="V98" s="6"/>
      <c r="W98" s="6"/>
      <c r="AD98" s="6"/>
    </row>
    <row r="99" spans="22:30" x14ac:dyDescent="0.25">
      <c r="V99" s="6"/>
      <c r="W99" s="6"/>
      <c r="AD99" s="6"/>
    </row>
    <row r="100" spans="22:30" x14ac:dyDescent="0.25">
      <c r="V100" s="6"/>
      <c r="W100" s="6"/>
      <c r="AD100" s="6"/>
    </row>
    <row r="101" spans="22:30" x14ac:dyDescent="0.25">
      <c r="V101" s="6"/>
      <c r="W101" s="6"/>
      <c r="AD101" s="6"/>
    </row>
    <row r="102" spans="22:30" x14ac:dyDescent="0.25">
      <c r="V102" s="6"/>
      <c r="W102" s="6"/>
      <c r="AD102" s="6"/>
    </row>
    <row r="103" spans="22:30" x14ac:dyDescent="0.25">
      <c r="V103" s="6"/>
      <c r="W103" s="6"/>
      <c r="AD103" s="6"/>
    </row>
    <row r="104" spans="22:30" x14ac:dyDescent="0.25">
      <c r="V104" s="6"/>
      <c r="W104" s="6"/>
      <c r="AD104" s="6"/>
    </row>
    <row r="105" spans="22:30" x14ac:dyDescent="0.25">
      <c r="V105" s="6"/>
      <c r="W105" s="6"/>
      <c r="AD105" s="6"/>
    </row>
    <row r="106" spans="22:30" x14ac:dyDescent="0.25">
      <c r="V106" s="6"/>
      <c r="W106" s="6"/>
      <c r="AD106" s="6"/>
    </row>
    <row r="107" spans="22:30" x14ac:dyDescent="0.25">
      <c r="V107" s="6"/>
      <c r="W107" s="6"/>
      <c r="AD107" s="6"/>
    </row>
    <row r="108" spans="22:30" x14ac:dyDescent="0.25">
      <c r="V108" s="6"/>
      <c r="W108" s="6"/>
      <c r="AD108" s="6"/>
    </row>
    <row r="109" spans="22:30" x14ac:dyDescent="0.25">
      <c r="V109" s="6"/>
      <c r="W109" s="6"/>
      <c r="AD109" s="6"/>
    </row>
    <row r="110" spans="22:30" x14ac:dyDescent="0.25">
      <c r="V110" s="6"/>
      <c r="W110" s="6"/>
      <c r="AD110" s="6"/>
    </row>
    <row r="111" spans="22:30" x14ac:dyDescent="0.25">
      <c r="V111" s="6"/>
      <c r="W111" s="6"/>
      <c r="AD111" s="6"/>
    </row>
    <row r="112" spans="22:30" x14ac:dyDescent="0.25">
      <c r="V112" s="6"/>
      <c r="W112" s="6"/>
      <c r="AD112" s="6"/>
    </row>
    <row r="113" spans="22:30" x14ac:dyDescent="0.25">
      <c r="V113" s="6"/>
      <c r="W113" s="6"/>
      <c r="AD113" s="6"/>
    </row>
    <row r="114" spans="22:30" x14ac:dyDescent="0.25">
      <c r="V114" s="6"/>
      <c r="W114" s="6"/>
      <c r="AD114" s="6"/>
    </row>
    <row r="115" spans="22:30" x14ac:dyDescent="0.25">
      <c r="V115" s="6"/>
      <c r="W115" s="6"/>
      <c r="AD115" s="6"/>
    </row>
    <row r="116" spans="22:30" x14ac:dyDescent="0.25">
      <c r="V116" s="6"/>
      <c r="W116" s="6"/>
      <c r="AD116" s="6"/>
    </row>
    <row r="117" spans="22:30" x14ac:dyDescent="0.25">
      <c r="V117" s="6"/>
      <c r="W117" s="6"/>
      <c r="AD117" s="6"/>
    </row>
    <row r="118" spans="22:30" x14ac:dyDescent="0.25">
      <c r="V118" s="6"/>
      <c r="W118" s="6"/>
      <c r="AD118" s="6"/>
    </row>
    <row r="119" spans="22:30" x14ac:dyDescent="0.25">
      <c r="V119" s="6"/>
      <c r="W119" s="6"/>
      <c r="AD119" s="6"/>
    </row>
    <row r="120" spans="22:30" x14ac:dyDescent="0.25">
      <c r="V120" s="6"/>
      <c r="W120" s="6"/>
      <c r="AD120" s="6"/>
    </row>
    <row r="121" spans="22:30" x14ac:dyDescent="0.25">
      <c r="V121" s="6"/>
      <c r="W121" s="6"/>
      <c r="AD121" s="6"/>
    </row>
    <row r="122" spans="22:30" x14ac:dyDescent="0.25">
      <c r="V122" s="6"/>
      <c r="W122" s="6"/>
      <c r="AD122" s="6"/>
    </row>
    <row r="123" spans="22:30" x14ac:dyDescent="0.25">
      <c r="V123" s="6"/>
      <c r="W123" s="6"/>
      <c r="AD123" s="6"/>
    </row>
    <row r="124" spans="22:30" x14ac:dyDescent="0.25">
      <c r="V124" s="6"/>
      <c r="W124" s="6"/>
      <c r="AD124" s="6"/>
    </row>
    <row r="125" spans="22:30" x14ac:dyDescent="0.25">
      <c r="V125" s="6"/>
      <c r="W125" s="6"/>
      <c r="AD125" s="6"/>
    </row>
    <row r="126" spans="22:30" x14ac:dyDescent="0.25">
      <c r="V126" s="6"/>
      <c r="W126" s="6"/>
      <c r="AD126" s="6"/>
    </row>
    <row r="127" spans="22:30" x14ac:dyDescent="0.25">
      <c r="V127" s="6"/>
      <c r="W127" s="6"/>
      <c r="AD127" s="6"/>
    </row>
    <row r="128" spans="22:30" x14ac:dyDescent="0.25">
      <c r="V128" s="6"/>
      <c r="W128" s="6"/>
      <c r="AD128" s="6"/>
    </row>
    <row r="129" spans="22:30" x14ac:dyDescent="0.25">
      <c r="V129" s="6"/>
      <c r="W129" s="6"/>
      <c r="AD129" s="6"/>
    </row>
    <row r="130" spans="22:30" x14ac:dyDescent="0.25">
      <c r="V130" s="6"/>
      <c r="W130" s="6"/>
      <c r="AD130" s="6"/>
    </row>
    <row r="131" spans="22:30" x14ac:dyDescent="0.25">
      <c r="V131" s="6"/>
      <c r="W131" s="6"/>
      <c r="AD131" s="6"/>
    </row>
    <row r="132" spans="22:30" x14ac:dyDescent="0.25">
      <c r="V132" s="6"/>
      <c r="W132" s="6"/>
      <c r="AD132" s="6"/>
    </row>
    <row r="133" spans="22:30" x14ac:dyDescent="0.25">
      <c r="V133" s="6"/>
      <c r="W133" s="6"/>
      <c r="AD133" s="6"/>
    </row>
    <row r="134" spans="22:30" x14ac:dyDescent="0.25">
      <c r="V134" s="6"/>
      <c r="W134" s="6"/>
      <c r="AD134" s="6"/>
    </row>
    <row r="135" spans="22:30" x14ac:dyDescent="0.25">
      <c r="V135" s="6"/>
      <c r="W135" s="6"/>
      <c r="AD135" s="6"/>
    </row>
    <row r="136" spans="22:30" x14ac:dyDescent="0.25">
      <c r="V136" s="6"/>
      <c r="W136" s="6"/>
      <c r="AD136" s="6"/>
    </row>
    <row r="137" spans="22:30" x14ac:dyDescent="0.25">
      <c r="V137" s="6"/>
      <c r="W137" s="6"/>
      <c r="AD137" s="6"/>
    </row>
    <row r="138" spans="22:30" x14ac:dyDescent="0.25">
      <c r="V138" s="6"/>
      <c r="W138" s="6"/>
      <c r="AD138" s="6"/>
    </row>
    <row r="139" spans="22:30" x14ac:dyDescent="0.25">
      <c r="V139" s="6"/>
      <c r="W139" s="6"/>
      <c r="AD139" s="6"/>
    </row>
    <row r="140" spans="22:30" x14ac:dyDescent="0.25">
      <c r="V140" s="6"/>
      <c r="W140" s="6"/>
      <c r="AD140" s="6"/>
    </row>
    <row r="141" spans="22:30" x14ac:dyDescent="0.25">
      <c r="V141" s="6"/>
      <c r="W141" s="6"/>
      <c r="AD141" s="6"/>
    </row>
    <row r="142" spans="22:30" x14ac:dyDescent="0.25">
      <c r="V142" s="6"/>
      <c r="W142" s="6"/>
      <c r="AD142" s="6"/>
    </row>
    <row r="143" spans="22:30" x14ac:dyDescent="0.25">
      <c r="V143" s="6"/>
      <c r="W143" s="6"/>
      <c r="AD143" s="6"/>
    </row>
    <row r="144" spans="22:30" x14ac:dyDescent="0.25">
      <c r="V144" s="6"/>
      <c r="W144" s="6"/>
      <c r="AD144" s="6"/>
    </row>
    <row r="145" spans="22:30" x14ac:dyDescent="0.25">
      <c r="V145" s="6"/>
      <c r="W145" s="6"/>
      <c r="AD145" s="6"/>
    </row>
    <row r="146" spans="22:30" x14ac:dyDescent="0.25">
      <c r="V146" s="6"/>
      <c r="W146" s="6"/>
      <c r="AD146" s="6"/>
    </row>
    <row r="147" spans="22:30" x14ac:dyDescent="0.25">
      <c r="V147" s="6"/>
      <c r="W147" s="6"/>
      <c r="AD147" s="6"/>
    </row>
    <row r="148" spans="22:30" x14ac:dyDescent="0.25">
      <c r="V148" s="6"/>
      <c r="W148" s="6"/>
      <c r="AD148" s="6"/>
    </row>
    <row r="149" spans="22:30" x14ac:dyDescent="0.25">
      <c r="V149" s="6"/>
      <c r="W149" s="6"/>
      <c r="AD149" s="6"/>
    </row>
    <row r="150" spans="22:30" x14ac:dyDescent="0.25">
      <c r="V150" s="6"/>
      <c r="W150" s="6"/>
      <c r="AD150" s="6"/>
    </row>
    <row r="151" spans="22:30" x14ac:dyDescent="0.25">
      <c r="V151" s="6"/>
      <c r="W151" s="6"/>
      <c r="AD151" s="6"/>
    </row>
    <row r="152" spans="22:30" x14ac:dyDescent="0.25">
      <c r="V152" s="6"/>
      <c r="W152" s="6"/>
      <c r="AD152" s="6"/>
    </row>
    <row r="153" spans="22:30" x14ac:dyDescent="0.25">
      <c r="V153" s="6"/>
      <c r="W153" s="6"/>
      <c r="AD153" s="6"/>
    </row>
    <row r="154" spans="22:30" x14ac:dyDescent="0.25">
      <c r="V154" s="6"/>
      <c r="W154" s="6"/>
      <c r="AD154" s="6"/>
    </row>
    <row r="155" spans="22:30" x14ac:dyDescent="0.25">
      <c r="V155" s="6"/>
      <c r="W155" s="6"/>
      <c r="AD155" s="6"/>
    </row>
    <row r="156" spans="22:30" x14ac:dyDescent="0.25">
      <c r="V156" s="6"/>
      <c r="W156" s="6"/>
      <c r="AD156" s="6"/>
    </row>
    <row r="157" spans="22:30" x14ac:dyDescent="0.25">
      <c r="V157" s="6"/>
      <c r="W157" s="6"/>
      <c r="AD157" s="6"/>
    </row>
    <row r="158" spans="22:30" x14ac:dyDescent="0.25">
      <c r="V158" s="6"/>
      <c r="W158" s="6"/>
      <c r="AD158" s="6"/>
    </row>
    <row r="159" spans="22:30" x14ac:dyDescent="0.25">
      <c r="V159" s="6"/>
      <c r="W159" s="6"/>
      <c r="AD159" s="6"/>
    </row>
    <row r="160" spans="22:30" x14ac:dyDescent="0.25">
      <c r="V160" s="6"/>
      <c r="W160" s="6"/>
      <c r="AD160" s="6"/>
    </row>
    <row r="161" spans="22:30" x14ac:dyDescent="0.25">
      <c r="V161" s="6"/>
      <c r="W161" s="6"/>
      <c r="AD161" s="6"/>
    </row>
    <row r="162" spans="22:30" x14ac:dyDescent="0.25">
      <c r="V162" s="6"/>
      <c r="W162" s="6"/>
      <c r="AD162" s="6"/>
    </row>
    <row r="163" spans="22:30" x14ac:dyDescent="0.25">
      <c r="V163" s="6"/>
      <c r="W163" s="6"/>
      <c r="AD163" s="6"/>
    </row>
    <row r="164" spans="22:30" x14ac:dyDescent="0.25">
      <c r="V164" s="6"/>
      <c r="W164" s="6"/>
      <c r="AD164" s="6"/>
    </row>
    <row r="165" spans="22:30" x14ac:dyDescent="0.25">
      <c r="V165" s="6"/>
      <c r="W165" s="6"/>
      <c r="AD165" s="6"/>
    </row>
    <row r="166" spans="22:30" x14ac:dyDescent="0.25">
      <c r="V166" s="6"/>
      <c r="W166" s="6"/>
      <c r="AD166" s="6"/>
    </row>
    <row r="167" spans="22:30" x14ac:dyDescent="0.25">
      <c r="V167" s="6"/>
      <c r="W167" s="6"/>
      <c r="AD167" s="6"/>
    </row>
    <row r="168" spans="22:30" x14ac:dyDescent="0.25">
      <c r="V168" s="6"/>
      <c r="W168" s="6"/>
      <c r="AD168" s="6"/>
    </row>
    <row r="169" spans="22:30" x14ac:dyDescent="0.25">
      <c r="V169" s="6"/>
      <c r="W169" s="6"/>
      <c r="AD169" s="6"/>
    </row>
    <row r="170" spans="22:30" x14ac:dyDescent="0.25">
      <c r="V170" s="6"/>
      <c r="W170" s="6"/>
      <c r="AD170" s="6"/>
    </row>
    <row r="171" spans="22:30" x14ac:dyDescent="0.25">
      <c r="V171" s="6"/>
      <c r="W171" s="6"/>
      <c r="AD171" s="6"/>
    </row>
    <row r="172" spans="22:30" x14ac:dyDescent="0.25">
      <c r="V172" s="6"/>
      <c r="W172" s="6"/>
      <c r="AD172" s="6"/>
    </row>
    <row r="173" spans="22:30" x14ac:dyDescent="0.25">
      <c r="V173" s="6"/>
      <c r="W173" s="6"/>
      <c r="AD173" s="6"/>
    </row>
    <row r="174" spans="22:30" x14ac:dyDescent="0.25">
      <c r="V174" s="6"/>
      <c r="W174" s="6"/>
      <c r="AD174" s="6"/>
    </row>
    <row r="175" spans="22:30" x14ac:dyDescent="0.25">
      <c r="V175" s="6"/>
      <c r="W175" s="6"/>
      <c r="AD175" s="6"/>
    </row>
    <row r="176" spans="22:30" x14ac:dyDescent="0.25">
      <c r="V176" s="6"/>
      <c r="W176" s="6"/>
      <c r="AD176" s="6"/>
    </row>
    <row r="177" spans="22:30" x14ac:dyDescent="0.25">
      <c r="V177" s="6"/>
      <c r="W177" s="6"/>
      <c r="AD177" s="6"/>
    </row>
    <row r="178" spans="22:30" x14ac:dyDescent="0.25">
      <c r="V178" s="6"/>
      <c r="W178" s="6"/>
      <c r="AD178" s="6"/>
    </row>
    <row r="179" spans="22:30" x14ac:dyDescent="0.25">
      <c r="V179" s="6"/>
      <c r="W179" s="6"/>
      <c r="AD179" s="6"/>
    </row>
    <row r="180" spans="22:30" x14ac:dyDescent="0.25">
      <c r="V180" s="6"/>
      <c r="W180" s="6"/>
      <c r="AD180" s="6"/>
    </row>
    <row r="181" spans="22:30" x14ac:dyDescent="0.25">
      <c r="V181" s="6"/>
      <c r="W181" s="6"/>
      <c r="AD181" s="6"/>
    </row>
    <row r="182" spans="22:30" x14ac:dyDescent="0.25">
      <c r="V182" s="6"/>
      <c r="W182" s="6"/>
      <c r="AD182" s="6"/>
    </row>
    <row r="183" spans="22:30" x14ac:dyDescent="0.25">
      <c r="V183" s="6"/>
      <c r="W183" s="6"/>
      <c r="AD183" s="6"/>
    </row>
    <row r="184" spans="22:30" x14ac:dyDescent="0.25">
      <c r="V184" s="6"/>
      <c r="W184" s="6"/>
      <c r="AD184" s="6"/>
    </row>
    <row r="185" spans="22:30" x14ac:dyDescent="0.25">
      <c r="V185" s="6"/>
      <c r="W185" s="6"/>
      <c r="AD185" s="6"/>
    </row>
    <row r="186" spans="22:30" x14ac:dyDescent="0.25">
      <c r="V186" s="6"/>
      <c r="W186" s="6"/>
      <c r="AD186" s="6"/>
    </row>
    <row r="187" spans="22:30" x14ac:dyDescent="0.25">
      <c r="V187" s="6"/>
      <c r="W187" s="6"/>
      <c r="AD187" s="6"/>
    </row>
    <row r="188" spans="22:30" x14ac:dyDescent="0.25">
      <c r="V188" s="6"/>
      <c r="W188" s="6"/>
      <c r="AD188" s="6"/>
    </row>
    <row r="189" spans="22:30" x14ac:dyDescent="0.25">
      <c r="V189" s="6"/>
      <c r="W189" s="6"/>
      <c r="AD189" s="6"/>
    </row>
    <row r="190" spans="22:30" x14ac:dyDescent="0.25">
      <c r="V190" s="6"/>
      <c r="W190" s="6"/>
      <c r="AD190" s="6"/>
    </row>
    <row r="191" spans="22:30" x14ac:dyDescent="0.25">
      <c r="V191" s="6"/>
      <c r="W191" s="6"/>
      <c r="AD191" s="6"/>
    </row>
    <row r="192" spans="22:30" x14ac:dyDescent="0.25">
      <c r="V192" s="6"/>
      <c r="W192" s="6"/>
      <c r="AD192" s="6"/>
    </row>
    <row r="193" spans="22:30" x14ac:dyDescent="0.25">
      <c r="V193" s="6"/>
      <c r="W193" s="6"/>
      <c r="AD193" s="6"/>
    </row>
    <row r="194" spans="22:30" x14ac:dyDescent="0.25">
      <c r="V194" s="6"/>
      <c r="W194" s="6"/>
      <c r="AD194" s="6"/>
    </row>
    <row r="195" spans="22:30" x14ac:dyDescent="0.25">
      <c r="V195" s="6"/>
      <c r="W195" s="6"/>
      <c r="AD195" s="6"/>
    </row>
    <row r="196" spans="22:30" x14ac:dyDescent="0.25">
      <c r="V196" s="6"/>
      <c r="W196" s="6"/>
      <c r="AD196" s="6"/>
    </row>
    <row r="197" spans="22:30" x14ac:dyDescent="0.25">
      <c r="V197" s="6"/>
      <c r="W197" s="6"/>
      <c r="AD197" s="6"/>
    </row>
    <row r="198" spans="22:30" x14ac:dyDescent="0.25">
      <c r="V198" s="6"/>
      <c r="W198" s="6"/>
      <c r="AD198" s="6"/>
    </row>
    <row r="199" spans="22:30" x14ac:dyDescent="0.25">
      <c r="V199" s="6"/>
      <c r="W199" s="6"/>
      <c r="AD199" s="6"/>
    </row>
    <row r="200" spans="22:30" x14ac:dyDescent="0.25">
      <c r="V200" s="6"/>
      <c r="W200" s="6"/>
      <c r="AD200" s="6"/>
    </row>
    <row r="201" spans="22:30" x14ac:dyDescent="0.25">
      <c r="V201" s="6"/>
      <c r="W201" s="6"/>
      <c r="AD201" s="6"/>
    </row>
    <row r="202" spans="22:30" x14ac:dyDescent="0.25">
      <c r="V202" s="6"/>
      <c r="W202" s="6"/>
      <c r="AD202" s="6"/>
    </row>
    <row r="203" spans="22:30" x14ac:dyDescent="0.25">
      <c r="V203" s="6"/>
      <c r="W203" s="6"/>
      <c r="AD203" s="6"/>
    </row>
    <row r="204" spans="22:30" x14ac:dyDescent="0.25">
      <c r="V204" s="6"/>
      <c r="W204" s="6"/>
      <c r="AD204" s="6"/>
    </row>
    <row r="205" spans="22:30" x14ac:dyDescent="0.25">
      <c r="V205" s="6"/>
      <c r="W205" s="6"/>
      <c r="AD205" s="6"/>
    </row>
    <row r="206" spans="22:30" x14ac:dyDescent="0.25">
      <c r="V206" s="6"/>
      <c r="W206" s="6"/>
      <c r="AD206" s="6"/>
    </row>
    <row r="207" spans="22:30" x14ac:dyDescent="0.25">
      <c r="V207" s="6"/>
      <c r="W207" s="6"/>
      <c r="AD207" s="6"/>
    </row>
    <row r="208" spans="22:30" x14ac:dyDescent="0.25">
      <c r="V208" s="6"/>
      <c r="W208" s="6"/>
      <c r="AD208" s="6"/>
    </row>
    <row r="209" spans="22:30" x14ac:dyDescent="0.25">
      <c r="V209" s="6"/>
      <c r="W209" s="6"/>
      <c r="AD209" s="6"/>
    </row>
    <row r="210" spans="22:30" x14ac:dyDescent="0.25">
      <c r="V210" s="6"/>
      <c r="W210" s="6"/>
      <c r="AD210" s="6"/>
    </row>
    <row r="211" spans="22:30" x14ac:dyDescent="0.25">
      <c r="V211" s="6"/>
      <c r="W211" s="6"/>
      <c r="AD211" s="6"/>
    </row>
    <row r="212" spans="22:30" x14ac:dyDescent="0.25">
      <c r="V212" s="6"/>
      <c r="W212" s="6"/>
      <c r="AD212" s="6"/>
    </row>
    <row r="213" spans="22:30" x14ac:dyDescent="0.25">
      <c r="V213" s="6"/>
      <c r="W213" s="6"/>
      <c r="AD213" s="6"/>
    </row>
    <row r="214" spans="22:30" x14ac:dyDescent="0.25">
      <c r="V214" s="6"/>
      <c r="W214" s="6"/>
      <c r="AD214" s="6"/>
    </row>
    <row r="215" spans="22:30" x14ac:dyDescent="0.25">
      <c r="V215" s="6"/>
      <c r="W215" s="6"/>
      <c r="AD215" s="6"/>
    </row>
    <row r="216" spans="22:30" x14ac:dyDescent="0.25">
      <c r="V216" s="6"/>
      <c r="W216" s="6"/>
      <c r="AD216" s="6"/>
    </row>
    <row r="217" spans="22:30" x14ac:dyDescent="0.25">
      <c r="V217" s="6"/>
      <c r="W217" s="6"/>
      <c r="AD217" s="6"/>
    </row>
    <row r="218" spans="22:30" x14ac:dyDescent="0.25">
      <c r="V218" s="6"/>
      <c r="W218" s="6"/>
      <c r="AD218" s="6"/>
    </row>
    <row r="219" spans="22:30" x14ac:dyDescent="0.25">
      <c r="V219" s="6"/>
      <c r="W219" s="6"/>
      <c r="AD219" s="6"/>
    </row>
    <row r="220" spans="22:30" x14ac:dyDescent="0.25">
      <c r="V220" s="6"/>
      <c r="W220" s="6"/>
      <c r="AD220" s="6"/>
    </row>
    <row r="221" spans="22:30" x14ac:dyDescent="0.25">
      <c r="V221" s="6"/>
      <c r="W221" s="6"/>
      <c r="AD221" s="6"/>
    </row>
    <row r="222" spans="22:30" x14ac:dyDescent="0.25">
      <c r="V222" s="6"/>
      <c r="W222" s="6"/>
      <c r="AD222" s="6"/>
    </row>
    <row r="223" spans="22:30" x14ac:dyDescent="0.25">
      <c r="V223" s="6"/>
      <c r="W223" s="6"/>
      <c r="AD223" s="6"/>
    </row>
    <row r="224" spans="22:30" x14ac:dyDescent="0.25">
      <c r="V224" s="6"/>
      <c r="W224" s="6"/>
      <c r="AD224" s="6"/>
    </row>
    <row r="225" spans="22:30" x14ac:dyDescent="0.25">
      <c r="V225" s="6"/>
      <c r="W225" s="6"/>
      <c r="AD225" s="6"/>
    </row>
    <row r="226" spans="22:30" x14ac:dyDescent="0.25">
      <c r="V226" s="6"/>
      <c r="W226" s="6"/>
      <c r="AD226" s="6"/>
    </row>
    <row r="227" spans="22:30" x14ac:dyDescent="0.25">
      <c r="V227" s="6"/>
      <c r="W227" s="6"/>
      <c r="AD227" s="6"/>
    </row>
    <row r="228" spans="22:30" x14ac:dyDescent="0.25">
      <c r="V228" s="6"/>
      <c r="W228" s="6"/>
      <c r="AD228" s="6"/>
    </row>
    <row r="229" spans="22:30" x14ac:dyDescent="0.25">
      <c r="V229" s="6"/>
      <c r="W229" s="6"/>
      <c r="AD229" s="6"/>
    </row>
    <row r="230" spans="22:30" x14ac:dyDescent="0.25">
      <c r="V230" s="6"/>
      <c r="W230" s="6"/>
      <c r="AD230" s="6"/>
    </row>
    <row r="231" spans="22:30" x14ac:dyDescent="0.25">
      <c r="V231" s="6"/>
      <c r="W231" s="6"/>
      <c r="AD231" s="6"/>
    </row>
    <row r="232" spans="22:30" x14ac:dyDescent="0.25">
      <c r="V232" s="6"/>
      <c r="W232" s="6"/>
      <c r="AD232" s="6"/>
    </row>
    <row r="233" spans="22:30" x14ac:dyDescent="0.25">
      <c r="V233" s="6"/>
      <c r="W233" s="6"/>
      <c r="AD233" s="6"/>
    </row>
    <row r="234" spans="22:30" x14ac:dyDescent="0.25">
      <c r="V234" s="6"/>
      <c r="W234" s="6"/>
      <c r="AD234" s="6"/>
    </row>
    <row r="235" spans="22:30" x14ac:dyDescent="0.25">
      <c r="V235" s="6"/>
      <c r="W235" s="6"/>
      <c r="AD235" s="6"/>
    </row>
    <row r="236" spans="22:30" x14ac:dyDescent="0.25">
      <c r="V236" s="6"/>
      <c r="W236" s="6"/>
      <c r="AD236" s="6"/>
    </row>
    <row r="237" spans="22:30" x14ac:dyDescent="0.25">
      <c r="V237" s="6"/>
      <c r="W237" s="6"/>
      <c r="AD237" s="6"/>
    </row>
    <row r="238" spans="22:30" x14ac:dyDescent="0.25">
      <c r="V238" s="6"/>
      <c r="W238" s="6"/>
      <c r="AD238" s="6"/>
    </row>
    <row r="239" spans="22:30" x14ac:dyDescent="0.25">
      <c r="V239" s="6"/>
      <c r="W239" s="6"/>
      <c r="AD239" s="6"/>
    </row>
    <row r="240" spans="22:30" x14ac:dyDescent="0.25">
      <c r="V240" s="6"/>
      <c r="W240" s="6"/>
      <c r="AD240" s="6"/>
    </row>
    <row r="241" spans="22:30" x14ac:dyDescent="0.25">
      <c r="V241" s="6"/>
      <c r="W241" s="6"/>
      <c r="AD241" s="6"/>
    </row>
    <row r="242" spans="22:30" x14ac:dyDescent="0.25">
      <c r="V242" s="6"/>
      <c r="W242" s="6"/>
      <c r="AD242" s="6"/>
    </row>
    <row r="243" spans="22:30" x14ac:dyDescent="0.25">
      <c r="V243" s="6"/>
      <c r="W243" s="6"/>
      <c r="AD243" s="6"/>
    </row>
    <row r="244" spans="22:30" x14ac:dyDescent="0.25">
      <c r="V244" s="6"/>
      <c r="W244" s="6"/>
      <c r="AD244" s="6"/>
    </row>
    <row r="245" spans="22:30" x14ac:dyDescent="0.25">
      <c r="V245" s="6"/>
      <c r="W245" s="6"/>
      <c r="AD245" s="6"/>
    </row>
    <row r="246" spans="22:30" x14ac:dyDescent="0.25">
      <c r="V246" s="6"/>
      <c r="W246" s="6"/>
      <c r="AD246" s="6"/>
    </row>
    <row r="247" spans="22:30" x14ac:dyDescent="0.25">
      <c r="V247" s="6"/>
      <c r="W247" s="6"/>
      <c r="AD247" s="6"/>
    </row>
    <row r="248" spans="22:30" x14ac:dyDescent="0.25">
      <c r="V248" s="6"/>
      <c r="W248" s="6"/>
      <c r="AD248" s="6"/>
    </row>
    <row r="249" spans="22:30" x14ac:dyDescent="0.25">
      <c r="V249" s="6"/>
      <c r="W249" s="6"/>
      <c r="AD249" s="6"/>
    </row>
    <row r="250" spans="22:30" x14ac:dyDescent="0.25">
      <c r="V250" s="6"/>
      <c r="W250" s="6"/>
      <c r="AD250" s="6"/>
    </row>
    <row r="251" spans="22:30" x14ac:dyDescent="0.25">
      <c r="V251" s="6"/>
      <c r="W251" s="6"/>
      <c r="AD251" s="6"/>
    </row>
    <row r="252" spans="22:30" x14ac:dyDescent="0.25">
      <c r="V252" s="6"/>
      <c r="W252" s="6"/>
      <c r="AD252" s="6"/>
    </row>
    <row r="253" spans="22:30" x14ac:dyDescent="0.25">
      <c r="V253" s="6"/>
      <c r="W253" s="6"/>
      <c r="AD253" s="6"/>
    </row>
    <row r="254" spans="22:30" x14ac:dyDescent="0.25">
      <c r="V254" s="6"/>
      <c r="W254" s="6"/>
      <c r="AD254" s="6"/>
    </row>
    <row r="255" spans="22:30" x14ac:dyDescent="0.25">
      <c r="V255" s="6"/>
      <c r="W255" s="6"/>
      <c r="AD255" s="6"/>
    </row>
    <row r="256" spans="22:30" x14ac:dyDescent="0.25">
      <c r="V256" s="6"/>
      <c r="W256" s="6"/>
      <c r="AD256" s="6"/>
    </row>
    <row r="257" spans="22:30" x14ac:dyDescent="0.25">
      <c r="V257" s="6"/>
      <c r="W257" s="6"/>
      <c r="AD257" s="6"/>
    </row>
    <row r="258" spans="22:30" x14ac:dyDescent="0.25">
      <c r="V258" s="6"/>
      <c r="W258" s="6"/>
      <c r="AD258" s="6"/>
    </row>
    <row r="259" spans="22:30" x14ac:dyDescent="0.25">
      <c r="V259" s="6"/>
      <c r="W259" s="6"/>
      <c r="AD259" s="6"/>
    </row>
    <row r="260" spans="22:30" x14ac:dyDescent="0.25">
      <c r="V260" s="6"/>
      <c r="W260" s="6"/>
      <c r="AD260" s="6"/>
    </row>
    <row r="261" spans="22:30" x14ac:dyDescent="0.25">
      <c r="V261" s="6"/>
      <c r="W261" s="6"/>
      <c r="AD261" s="6"/>
    </row>
    <row r="262" spans="22:30" x14ac:dyDescent="0.25">
      <c r="V262" s="6"/>
      <c r="W262" s="6"/>
      <c r="AD262" s="6"/>
    </row>
    <row r="263" spans="22:30" x14ac:dyDescent="0.25">
      <c r="V263" s="6"/>
      <c r="W263" s="6"/>
      <c r="AD263" s="6"/>
    </row>
    <row r="264" spans="22:30" x14ac:dyDescent="0.25">
      <c r="V264" s="6"/>
      <c r="W264" s="6"/>
      <c r="AD264" s="6"/>
    </row>
    <row r="265" spans="22:30" x14ac:dyDescent="0.25">
      <c r="V265" s="6"/>
      <c r="W265" s="6"/>
      <c r="AD265" s="6"/>
    </row>
    <row r="266" spans="22:30" x14ac:dyDescent="0.25">
      <c r="V266" s="6"/>
      <c r="W266" s="6"/>
      <c r="AD266" s="6"/>
    </row>
    <row r="267" spans="22:30" x14ac:dyDescent="0.25">
      <c r="V267" s="6"/>
      <c r="W267" s="6"/>
      <c r="AD267" s="6"/>
    </row>
    <row r="268" spans="22:30" x14ac:dyDescent="0.25">
      <c r="V268" s="6"/>
      <c r="W268" s="6"/>
      <c r="AD268" s="6"/>
    </row>
    <row r="269" spans="22:30" x14ac:dyDescent="0.25">
      <c r="V269" s="6"/>
      <c r="W269" s="6"/>
      <c r="AD269" s="6"/>
    </row>
    <row r="270" spans="22:30" x14ac:dyDescent="0.25">
      <c r="V270" s="6"/>
      <c r="W270" s="6"/>
      <c r="AD270" s="6"/>
    </row>
    <row r="271" spans="22:30" x14ac:dyDescent="0.25">
      <c r="V271" s="6"/>
      <c r="W271" s="6"/>
      <c r="AD271" s="6"/>
    </row>
    <row r="272" spans="22:30" x14ac:dyDescent="0.25">
      <c r="V272" s="6"/>
      <c r="W272" s="6"/>
      <c r="AD272" s="6"/>
    </row>
    <row r="273" spans="22:30" x14ac:dyDescent="0.25">
      <c r="V273" s="6"/>
      <c r="W273" s="6"/>
      <c r="AD273" s="6"/>
    </row>
    <row r="274" spans="22:30" x14ac:dyDescent="0.25">
      <c r="V274" s="6"/>
      <c r="W274" s="6"/>
      <c r="AD274" s="6"/>
    </row>
    <row r="275" spans="22:30" x14ac:dyDescent="0.25">
      <c r="V275" s="6"/>
      <c r="W275" s="6"/>
      <c r="AD275" s="6"/>
    </row>
    <row r="276" spans="22:30" x14ac:dyDescent="0.25">
      <c r="V276" s="6"/>
      <c r="W276" s="6"/>
      <c r="AD276" s="6"/>
    </row>
    <row r="277" spans="22:30" x14ac:dyDescent="0.25">
      <c r="V277" s="6"/>
      <c r="W277" s="6"/>
      <c r="AD277" s="6"/>
    </row>
    <row r="278" spans="22:30" x14ac:dyDescent="0.25">
      <c r="V278" s="6"/>
      <c r="W278" s="6"/>
      <c r="AD278" s="6"/>
    </row>
    <row r="279" spans="22:30" x14ac:dyDescent="0.25">
      <c r="V279" s="6"/>
      <c r="W279" s="6"/>
      <c r="AD279" s="6"/>
    </row>
    <row r="280" spans="22:30" x14ac:dyDescent="0.25">
      <c r="V280" s="6"/>
      <c r="W280" s="6"/>
      <c r="AD280" s="6"/>
    </row>
    <row r="281" spans="22:30" x14ac:dyDescent="0.25">
      <c r="V281" s="6"/>
      <c r="W281" s="6"/>
      <c r="AD281" s="6"/>
    </row>
    <row r="282" spans="22:30" x14ac:dyDescent="0.25">
      <c r="V282" s="6"/>
      <c r="W282" s="6"/>
      <c r="AD282" s="6"/>
    </row>
    <row r="283" spans="22:30" x14ac:dyDescent="0.25">
      <c r="V283" s="6"/>
      <c r="W283" s="6"/>
      <c r="AD283" s="6"/>
    </row>
    <row r="284" spans="22:30" x14ac:dyDescent="0.25">
      <c r="V284" s="6"/>
      <c r="W284" s="6"/>
      <c r="AD284" s="6"/>
    </row>
    <row r="285" spans="22:30" x14ac:dyDescent="0.25">
      <c r="V285" s="6"/>
      <c r="W285" s="6"/>
      <c r="AD285" s="6"/>
    </row>
    <row r="286" spans="22:30" x14ac:dyDescent="0.25">
      <c r="V286" s="6"/>
      <c r="W286" s="6"/>
      <c r="AD286" s="6"/>
    </row>
    <row r="287" spans="22:30" x14ac:dyDescent="0.25">
      <c r="V287" s="6"/>
      <c r="W287" s="6"/>
      <c r="AD287" s="6"/>
    </row>
    <row r="288" spans="22:30" x14ac:dyDescent="0.25">
      <c r="V288" s="6"/>
      <c r="W288" s="6"/>
      <c r="AD288" s="6"/>
    </row>
    <row r="289" spans="22:30" x14ac:dyDescent="0.25">
      <c r="V289" s="6"/>
      <c r="W289" s="6"/>
      <c r="AD289" s="6"/>
    </row>
    <row r="290" spans="22:30" x14ac:dyDescent="0.25">
      <c r="V290" s="6"/>
      <c r="W290" s="6"/>
      <c r="AD290" s="6"/>
    </row>
    <row r="291" spans="22:30" x14ac:dyDescent="0.25">
      <c r="V291" s="6"/>
      <c r="W291" s="6"/>
      <c r="AD291" s="6"/>
    </row>
    <row r="292" spans="22:30" x14ac:dyDescent="0.25">
      <c r="V292" s="6"/>
      <c r="W292" s="6"/>
      <c r="AD292" s="6"/>
    </row>
    <row r="293" spans="22:30" x14ac:dyDescent="0.25">
      <c r="V293" s="6"/>
      <c r="W293" s="6"/>
      <c r="AD293" s="6"/>
    </row>
    <row r="294" spans="22:30" x14ac:dyDescent="0.25">
      <c r="V294" s="6"/>
      <c r="W294" s="6"/>
      <c r="AD294" s="6"/>
    </row>
    <row r="295" spans="22:30" x14ac:dyDescent="0.25">
      <c r="V295" s="6"/>
      <c r="W295" s="6"/>
      <c r="AD295" s="6"/>
    </row>
    <row r="296" spans="22:30" x14ac:dyDescent="0.25">
      <c r="V296" s="6"/>
      <c r="W296" s="6"/>
      <c r="AD296" s="6"/>
    </row>
    <row r="297" spans="22:30" x14ac:dyDescent="0.25">
      <c r="V297" s="6"/>
      <c r="W297" s="6"/>
      <c r="AD297" s="6"/>
    </row>
    <row r="298" spans="22:30" x14ac:dyDescent="0.25">
      <c r="V298" s="6"/>
      <c r="W298" s="6"/>
      <c r="AD298" s="6"/>
    </row>
    <row r="299" spans="22:30" x14ac:dyDescent="0.25">
      <c r="V299" s="6"/>
      <c r="W299" s="6"/>
      <c r="AD299" s="6"/>
    </row>
    <row r="300" spans="22:30" x14ac:dyDescent="0.25">
      <c r="V300" s="6"/>
      <c r="W300" s="6"/>
      <c r="AD300" s="6"/>
    </row>
    <row r="301" spans="22:30" x14ac:dyDescent="0.25">
      <c r="V301" s="6"/>
      <c r="W301" s="6"/>
      <c r="AD301" s="6"/>
    </row>
    <row r="302" spans="22:30" x14ac:dyDescent="0.25">
      <c r="V302" s="6"/>
      <c r="W302" s="6"/>
      <c r="AD302" s="6"/>
    </row>
    <row r="303" spans="22:30" x14ac:dyDescent="0.25">
      <c r="V303" s="6"/>
      <c r="W303" s="6"/>
      <c r="AD303" s="6"/>
    </row>
    <row r="304" spans="22:30" x14ac:dyDescent="0.25">
      <c r="V304" s="6"/>
      <c r="W304" s="6"/>
      <c r="AD304" s="6"/>
    </row>
    <row r="305" spans="22:30" x14ac:dyDescent="0.25">
      <c r="V305" s="6"/>
      <c r="W305" s="6"/>
      <c r="AD305" s="6"/>
    </row>
    <row r="306" spans="22:30" x14ac:dyDescent="0.25">
      <c r="V306" s="6"/>
      <c r="W306" s="6"/>
      <c r="AD306" s="6"/>
    </row>
    <row r="307" spans="22:30" x14ac:dyDescent="0.25">
      <c r="V307" s="6"/>
      <c r="W307" s="6"/>
      <c r="AD307" s="6"/>
    </row>
    <row r="308" spans="22:30" x14ac:dyDescent="0.25">
      <c r="V308" s="6"/>
      <c r="W308" s="6"/>
      <c r="AD308" s="6"/>
    </row>
    <row r="309" spans="22:30" x14ac:dyDescent="0.25">
      <c r="V309" s="6"/>
      <c r="W309" s="6"/>
      <c r="AD309" s="6"/>
    </row>
    <row r="310" spans="22:30" x14ac:dyDescent="0.25">
      <c r="V310" s="6"/>
      <c r="W310" s="6"/>
      <c r="AD310" s="6"/>
    </row>
    <row r="311" spans="22:30" x14ac:dyDescent="0.25">
      <c r="V311" s="6"/>
      <c r="W311" s="6"/>
      <c r="AD311" s="6"/>
    </row>
    <row r="312" spans="22:30" x14ac:dyDescent="0.25">
      <c r="V312" s="6"/>
      <c r="W312" s="6"/>
      <c r="AD312" s="6"/>
    </row>
    <row r="313" spans="22:30" x14ac:dyDescent="0.25">
      <c r="V313" s="6"/>
      <c r="W313" s="6"/>
      <c r="AD313" s="6"/>
    </row>
    <row r="314" spans="22:30" x14ac:dyDescent="0.25">
      <c r="V314" s="6"/>
      <c r="W314" s="6"/>
      <c r="AD314" s="6"/>
    </row>
    <row r="315" spans="22:30" x14ac:dyDescent="0.25">
      <c r="V315" s="6"/>
      <c r="W315" s="6"/>
      <c r="AD315" s="6"/>
    </row>
    <row r="316" spans="22:30" x14ac:dyDescent="0.25">
      <c r="V316" s="6"/>
      <c r="W316" s="6"/>
      <c r="AD316" s="6"/>
    </row>
    <row r="317" spans="22:30" x14ac:dyDescent="0.25">
      <c r="V317" s="6"/>
      <c r="W317" s="6"/>
      <c r="AD317" s="6"/>
    </row>
    <row r="318" spans="22:30" x14ac:dyDescent="0.25">
      <c r="V318" s="6"/>
      <c r="W318" s="6"/>
      <c r="AD318" s="6"/>
    </row>
    <row r="319" spans="22:30" x14ac:dyDescent="0.25">
      <c r="V319" s="6"/>
      <c r="W319" s="6"/>
      <c r="AD319" s="6"/>
    </row>
    <row r="320" spans="22:30" x14ac:dyDescent="0.25">
      <c r="V320" s="6"/>
      <c r="W320" s="6"/>
      <c r="AD320" s="6"/>
    </row>
    <row r="321" spans="22:30" x14ac:dyDescent="0.25">
      <c r="V321" s="6"/>
      <c r="W321" s="6"/>
      <c r="AD321" s="6"/>
    </row>
    <row r="322" spans="22:30" x14ac:dyDescent="0.25">
      <c r="V322" s="6"/>
      <c r="W322" s="6"/>
      <c r="AD322" s="6"/>
    </row>
    <row r="323" spans="22:30" x14ac:dyDescent="0.25">
      <c r="V323" s="6"/>
      <c r="W323" s="6"/>
      <c r="AD323" s="6"/>
    </row>
    <row r="324" spans="22:30" x14ac:dyDescent="0.25">
      <c r="V324" s="6"/>
      <c r="W324" s="6"/>
      <c r="AD324" s="6"/>
    </row>
    <row r="325" spans="22:30" x14ac:dyDescent="0.25">
      <c r="V325" s="6"/>
      <c r="W325" s="6"/>
      <c r="AD325" s="6"/>
    </row>
    <row r="326" spans="22:30" x14ac:dyDescent="0.25">
      <c r="V326" s="6"/>
      <c r="W326" s="6"/>
      <c r="AD326" s="6"/>
    </row>
    <row r="327" spans="22:30" x14ac:dyDescent="0.25">
      <c r="V327" s="6"/>
      <c r="W327" s="6"/>
      <c r="AD327" s="6"/>
    </row>
    <row r="328" spans="22:30" x14ac:dyDescent="0.25">
      <c r="V328" s="6"/>
      <c r="W328" s="6"/>
      <c r="AD328" s="6"/>
    </row>
    <row r="329" spans="22:30" x14ac:dyDescent="0.25">
      <c r="V329" s="6"/>
      <c r="W329" s="6"/>
      <c r="AD329" s="6"/>
    </row>
    <row r="330" spans="22:30" x14ac:dyDescent="0.25">
      <c r="V330" s="6"/>
      <c r="W330" s="6"/>
      <c r="AD330" s="6"/>
    </row>
    <row r="331" spans="22:30" x14ac:dyDescent="0.25">
      <c r="V331" s="6"/>
      <c r="W331" s="6"/>
      <c r="AD331" s="6"/>
    </row>
    <row r="332" spans="22:30" x14ac:dyDescent="0.25">
      <c r="V332" s="6"/>
      <c r="W332" s="6"/>
      <c r="AD332" s="6"/>
    </row>
    <row r="333" spans="22:30" x14ac:dyDescent="0.25">
      <c r="V333" s="6"/>
      <c r="W333" s="6"/>
      <c r="AD333" s="6"/>
    </row>
    <row r="334" spans="22:30" x14ac:dyDescent="0.25">
      <c r="V334" s="6"/>
      <c r="W334" s="6"/>
      <c r="AD334" s="6"/>
    </row>
    <row r="335" spans="22:30" x14ac:dyDescent="0.25">
      <c r="V335" s="6"/>
      <c r="W335" s="6"/>
      <c r="AD335" s="6"/>
    </row>
    <row r="336" spans="22:30" x14ac:dyDescent="0.25">
      <c r="V336" s="6"/>
      <c r="W336" s="6"/>
      <c r="AD336" s="6"/>
    </row>
    <row r="337" spans="22:30" x14ac:dyDescent="0.25">
      <c r="V337" s="6"/>
      <c r="W337" s="6"/>
      <c r="AD337" s="6"/>
    </row>
    <row r="338" spans="22:30" x14ac:dyDescent="0.25">
      <c r="V338" s="6"/>
      <c r="W338" s="6"/>
      <c r="AD338" s="6"/>
    </row>
    <row r="339" spans="22:30" x14ac:dyDescent="0.25">
      <c r="V339" s="6"/>
      <c r="W339" s="6"/>
      <c r="AD339" s="6"/>
    </row>
  </sheetData>
  <autoFilter ref="A1:F17" xr:uid="{4F6E024E-A071-4867-AC61-581BE946CBA7}"/>
  <sortState xmlns:xlrd2="http://schemas.microsoft.com/office/spreadsheetml/2017/richdata2" ref="K4:L12">
    <sortCondition ref="K4:K1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18D9-1A77-44DE-BE6C-99EF291331F9}">
  <dimension ref="A1:P5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9.85546875" bestFit="1" customWidth="1"/>
    <col min="3" max="3" width="64.7109375" bestFit="1" customWidth="1"/>
  </cols>
  <sheetData>
    <row r="1" spans="1:16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I1" s="4" t="s">
        <v>11</v>
      </c>
      <c r="J1" s="2"/>
      <c r="L1" t="s">
        <v>13</v>
      </c>
      <c r="M1" t="b">
        <v>0</v>
      </c>
      <c r="O1" t="s">
        <v>14</v>
      </c>
      <c r="P1" s="5"/>
    </row>
    <row r="2" spans="1:16" x14ac:dyDescent="0.25">
      <c r="A2" t="s">
        <v>6</v>
      </c>
      <c r="B2">
        <v>356876</v>
      </c>
      <c r="C2" t="str">
        <f t="shared" ref="C2:C5" si="0">"{"&amp;IF($M$1,"""Id"":"&amp;B2&amp;",","")&amp;"""Invoiced"":true,""InvoiceComment"":"""&amp;$P$1&amp;"""}"</f>
        <v>{"Invoiced":true,"InvoiceComment":""}</v>
      </c>
      <c r="D2">
        <v>1</v>
      </c>
      <c r="E2" t="str">
        <f>C2</f>
        <v>{"Invoiced":true,"InvoiceComment":""}</v>
      </c>
      <c r="F2" t="str">
        <f>IF(OR(D2&gt;D3,NOT($M$1)),"(@eventId,'resource','"&amp;A2&amp;"',"&amp;B2&amp;","&amp;IF($M$1,"1","0")&amp;",0,"&amp;IF($M$1,"'["&amp;SUBSTITUTE(E2,"'","''")&amp;"]'","'"&amp;SUBSTITUTE(C2,"'","''")&amp;"'")&amp;"),","")</f>
        <v>(@eventId,'resource','Timesheet',356876,0,0,'{"Invoiced":true,"InvoiceComment":""}'),</v>
      </c>
    </row>
    <row r="3" spans="1:16" x14ac:dyDescent="0.25">
      <c r="A3" t="s">
        <v>6</v>
      </c>
      <c r="B3">
        <v>356506</v>
      </c>
      <c r="C3" t="str">
        <f t="shared" si="0"/>
        <v>{"Invoiced":true,"InvoiceComment":""}</v>
      </c>
      <c r="D3">
        <f>IF(OR(D2=50,(LEN(C3)+LEN(E2)+5)&gt;2000),1,D2+1)</f>
        <v>2</v>
      </c>
      <c r="E3" t="str">
        <f>IF(D3&gt;D2,E2&amp;","&amp;C3,C3)</f>
        <v>{"Invoiced":true,"InvoiceComment":""},{"Invoiced":true,"InvoiceComment":""}</v>
      </c>
      <c r="F3" t="str">
        <f>IF(OR(D3&gt;D4,NOT($M$1)),"(@eventId,'resource','"&amp;A3&amp;"',"&amp;B3&amp;","&amp;IF($M$1,"1","0")&amp;",0,"&amp;IF($M$1,"'["&amp;SUBSTITUTE(E3,"'","''")&amp;"]'","'"&amp;SUBSTITUTE(C3,"'","''")&amp;"'")&amp;"),","")</f>
        <v>(@eventId,'resource','Timesheet',356506,0,0,'{"Invoiced":true,"InvoiceComment":""}'),</v>
      </c>
    </row>
    <row r="4" spans="1:16" x14ac:dyDescent="0.25">
      <c r="A4" t="s">
        <v>6</v>
      </c>
      <c r="B4">
        <v>330243</v>
      </c>
      <c r="C4" t="str">
        <f t="shared" si="0"/>
        <v>{"Invoiced":true,"InvoiceComment":""}</v>
      </c>
      <c r="D4">
        <f t="shared" ref="D4:D5" si="1">IF(OR(D3=50,(LEN(C4)+LEN(E3)+5)&gt;2000),1,D3+1)</f>
        <v>3</v>
      </c>
      <c r="E4" t="str">
        <f t="shared" ref="E4:E5" si="2">IF(D4&gt;D3,E3&amp;","&amp;C4,C4)</f>
        <v>{"Invoiced":true,"InvoiceComment":""},{"Invoiced":true,"InvoiceComment":""},{"Invoiced":true,"InvoiceComment":""}</v>
      </c>
      <c r="F4" t="str">
        <f t="shared" ref="F4:F5" si="3">IF(OR(D4&gt;D5,NOT($M$1)),"(@eventId,'resource','"&amp;A4&amp;"',"&amp;B4&amp;","&amp;IF($M$1,"1","0")&amp;",0,"&amp;IF($M$1,"'["&amp;SUBSTITUTE(E4,"'","''")&amp;"]'","'"&amp;SUBSTITUTE(C4,"'","''")&amp;"'")&amp;"),","")</f>
        <v>(@eventId,'resource','Timesheet',330243,0,0,'{"Invoiced":true,"InvoiceComment":""}'),</v>
      </c>
    </row>
    <row r="5" spans="1:16" x14ac:dyDescent="0.25">
      <c r="A5" t="s">
        <v>6</v>
      </c>
      <c r="B5">
        <v>330542</v>
      </c>
      <c r="C5" t="str">
        <f t="shared" si="0"/>
        <v>{"Invoiced":true,"InvoiceComment":""}</v>
      </c>
      <c r="D5">
        <f t="shared" si="1"/>
        <v>4</v>
      </c>
      <c r="E5" t="str">
        <f t="shared" si="2"/>
        <v>{"Invoiced":true,"InvoiceComment":""},{"Invoiced":true,"InvoiceComment":""},{"Invoiced":true,"InvoiceComment":""},{"Invoiced":true,"InvoiceComment":""}</v>
      </c>
      <c r="F5" t="str">
        <f t="shared" si="3"/>
        <v>(@eventId,'resource','Timesheet',330542,0,0,'{"Invoiced":true,"InvoiceComment":""}'),</v>
      </c>
    </row>
  </sheetData>
  <autoFilter ref="A1:F6054" xr:uid="{213984B9-DA3B-46AC-93B0-F5D6AE36B742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0DEA-2F4A-4C31-A298-D284DDE15065}">
  <dimension ref="A1:G19"/>
  <sheetViews>
    <sheetView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0.42578125" bestFit="1" customWidth="1"/>
    <col min="2" max="2" width="7" bestFit="1" customWidth="1"/>
    <col min="3" max="3" width="24.85546875" bestFit="1" customWidth="1"/>
    <col min="4" max="4" width="85.7109375" bestFit="1" customWidth="1"/>
    <col min="5" max="5" width="4.85546875" bestFit="1" customWidth="1"/>
    <col min="6" max="6" width="55.140625" bestFit="1" customWidth="1"/>
    <col min="7" max="7" width="90.42578125" bestFit="1" customWidth="1"/>
  </cols>
  <sheetData>
    <row r="1" spans="1:7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v>4714</v>
      </c>
      <c r="C2" s="1" t="s">
        <v>9</v>
      </c>
      <c r="D2" t="str">
        <f>"{""Id"":"&amp;B2&amp;",""OperationUnitDeputecPayRulesesAsOperationUnit"":["&amp;C2&amp;"]}"</f>
        <v>{"Id":4714,"OperationUnitDeputecPayRulesesAsOperationUnit":[433,413,440,400]}</v>
      </c>
      <c r="E2">
        <v>1</v>
      </c>
      <c r="F2" t="str">
        <f>D2</f>
        <v>{"Id":4714,"OperationUnitDeputecPayRulesesAsOperationUnit":[433,413,440,400]}</v>
      </c>
      <c r="G2" t="str">
        <f>IF(E2&gt;E3,"(@eventId,'"&amp;A2&amp;"',"&amp;B2&amp;",1,0,'["&amp;SUBSTITUTE(F2,"'","''")&amp;"]'),","")</f>
        <v/>
      </c>
    </row>
    <row r="3" spans="1:7" x14ac:dyDescent="0.25">
      <c r="A3" t="s">
        <v>7</v>
      </c>
      <c r="B3">
        <v>3295</v>
      </c>
      <c r="C3" s="1" t="s">
        <v>9</v>
      </c>
      <c r="D3" t="str">
        <f>"{""Id"":"&amp;B3&amp;",""OperationUnitDeputecPayRulesesAsOperationUnit"":["&amp;C3&amp;"]}"</f>
        <v>{"Id":3295,"OperationUnitDeputecPayRulesesAsOperationUnit":[433,413,440,400]}</v>
      </c>
      <c r="E3">
        <f>IF(OR(E2=50,(LEN(D3)+LEN(F2)+5)&gt;2000),1,E2+1)</f>
        <v>2</v>
      </c>
      <c r="F3" t="str">
        <f>IF(E3&gt;E2,F2&amp;","&amp;D3,D3)</f>
        <v>{"Id":4714,"OperationUnitDeputecPayRulesesAsOperationUnit":[433,413,440,400]},{"Id":3295,"OperationUnitDeputecPayRulesesAsOperationUnit":[433,413,440,400]}</v>
      </c>
      <c r="G3" t="str">
        <f>IF(E3&gt;E4,"(@eventId,'"&amp;A3&amp;"',"&amp;B3&amp;",1,0,'["&amp;SUBSTITUTE(F3,"'","''")&amp;"]'),","")</f>
        <v>(@eventId,'OperationalUnit',3295,1,0,'[{"Id":4714,"OperationUnitDeputecPayRulesesAsOperationUnit":[433,413,440,400]},{"Id":3295,"OperationUnitDeputecPayRulesesAsOperationUnit":[433,413,440,400]}]'),</v>
      </c>
    </row>
    <row r="4" spans="1:7" x14ac:dyDescent="0.25">
      <c r="C4" s="1"/>
    </row>
    <row r="5" spans="1:7" x14ac:dyDescent="0.25">
      <c r="C5" s="1"/>
    </row>
    <row r="6" spans="1:7" x14ac:dyDescent="0.25">
      <c r="C6" s="1"/>
    </row>
    <row r="7" spans="1:7" x14ac:dyDescent="0.25">
      <c r="C7" s="1"/>
    </row>
    <row r="8" spans="1:7" x14ac:dyDescent="0.25">
      <c r="C8" s="1"/>
    </row>
    <row r="9" spans="1:7" x14ac:dyDescent="0.25">
      <c r="C9" s="1"/>
    </row>
    <row r="10" spans="1:7" x14ac:dyDescent="0.25">
      <c r="C10" s="1"/>
    </row>
    <row r="11" spans="1:7" x14ac:dyDescent="0.25">
      <c r="C11" s="1"/>
    </row>
    <row r="12" spans="1:7" x14ac:dyDescent="0.25">
      <c r="C12" s="1"/>
    </row>
    <row r="13" spans="1:7" x14ac:dyDescent="0.25">
      <c r="C13" s="1"/>
    </row>
    <row r="14" spans="1:7" x14ac:dyDescent="0.25">
      <c r="C14" s="1"/>
    </row>
    <row r="15" spans="1:7" x14ac:dyDescent="0.25">
      <c r="C15" s="1"/>
    </row>
    <row r="16" spans="1:7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</sheetData>
  <autoFilter ref="A1:G2357" xr:uid="{B6DC0DEA-2F4A-4C31-A298-D284DDE1506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Timesheet Exported</vt:lpstr>
      <vt:lpstr>Timesheet Paid</vt:lpstr>
      <vt:lpstr>Timesheet Invoiced</vt:lpstr>
      <vt:lpstr>Area PayRules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Smith</dc:creator>
  <cp:lastModifiedBy>Tony Smith</cp:lastModifiedBy>
  <dcterms:created xsi:type="dcterms:W3CDTF">2025-06-04T04:36:13Z</dcterms:created>
  <dcterms:modified xsi:type="dcterms:W3CDTF">2025-12-28T23:27:55Z</dcterms:modified>
</cp:coreProperties>
</file>